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zhish\Desktop\JEM_raw_data_minimal\"/>
    </mc:Choice>
  </mc:AlternateContent>
  <xr:revisionPtr revIDLastSave="0" documentId="8_{EDCD334D-4C14-48ED-A048-B83BAEF8FD94}" xr6:coauthVersionLast="47" xr6:coauthVersionMax="47" xr10:uidLastSave="{00000000-0000-0000-0000-000000000000}"/>
  <bookViews>
    <workbookView xWindow="28680" yWindow="-120" windowWidth="29040" windowHeight="16440" activeTab="1" xr2:uid="{00000000-000D-0000-FFFF-FFFF00000000}"/>
  </bookViews>
  <sheets>
    <sheet name="data" sheetId="1" r:id="rId1"/>
    <sheet name="reference" sheetId="2" r:id="rId2"/>
  </sheets>
  <definedNames>
    <definedName name="_xlnm._FilterDatabase" localSheetId="0" hidden="1">data!$A$1:$S$1587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87" i="1" l="1"/>
  <c r="M1587" i="1"/>
  <c r="L1587" i="1"/>
  <c r="J1587" i="1"/>
  <c r="H1587" i="1"/>
  <c r="G1587" i="1"/>
  <c r="F1587" i="1"/>
  <c r="A1587" i="1"/>
  <c r="N1586" i="1"/>
  <c r="M1586" i="1"/>
  <c r="L1586" i="1"/>
  <c r="J1586" i="1"/>
  <c r="H1586" i="1"/>
  <c r="G1586" i="1"/>
  <c r="F1586" i="1"/>
  <c r="B1586" i="1"/>
  <c r="A1586" i="1"/>
  <c r="N1585" i="1"/>
  <c r="M1585" i="1"/>
  <c r="L1585" i="1"/>
  <c r="J1585" i="1"/>
  <c r="H1585" i="1"/>
  <c r="G1585" i="1"/>
  <c r="F1585" i="1"/>
  <c r="B1585" i="1"/>
  <c r="A1585" i="1"/>
  <c r="N1584" i="1"/>
  <c r="M1584" i="1"/>
  <c r="L1584" i="1"/>
  <c r="J1584" i="1"/>
  <c r="H1584" i="1"/>
  <c r="G1584" i="1"/>
  <c r="F1584" i="1"/>
  <c r="B1584" i="1"/>
  <c r="A1584" i="1"/>
  <c r="N1583" i="1"/>
  <c r="H1583" i="1"/>
  <c r="G1583" i="1"/>
  <c r="F1583" i="1"/>
  <c r="B1583" i="1"/>
  <c r="N1582" i="1"/>
  <c r="H1582" i="1"/>
  <c r="G1582" i="1"/>
  <c r="F1582" i="1"/>
  <c r="B1582" i="1"/>
  <c r="N1581" i="1"/>
  <c r="H1581" i="1"/>
  <c r="G1581" i="1"/>
  <c r="F1581" i="1"/>
  <c r="B1581" i="1"/>
  <c r="N1580" i="1"/>
  <c r="H1580" i="1"/>
  <c r="G1580" i="1"/>
  <c r="F1580" i="1"/>
  <c r="B1580" i="1"/>
  <c r="N1579" i="1"/>
  <c r="H1579" i="1"/>
  <c r="G1579" i="1"/>
  <c r="F1579" i="1"/>
  <c r="B1579" i="1"/>
  <c r="H1578" i="1"/>
  <c r="B1578" i="1"/>
  <c r="N1577" i="1"/>
  <c r="H1577" i="1"/>
  <c r="G1577" i="1"/>
  <c r="F1577" i="1"/>
  <c r="B1577" i="1"/>
  <c r="N1576" i="1"/>
  <c r="H1576" i="1"/>
  <c r="G1576" i="1"/>
  <c r="F1576" i="1"/>
  <c r="B1576" i="1"/>
  <c r="N1575" i="1"/>
  <c r="H1575" i="1"/>
  <c r="G1575" i="1"/>
  <c r="F1575" i="1"/>
  <c r="B1575" i="1"/>
  <c r="N1574" i="1"/>
  <c r="H1574" i="1"/>
  <c r="G1574" i="1"/>
  <c r="B1574" i="1"/>
  <c r="H1573" i="1"/>
  <c r="B1573" i="1"/>
  <c r="N1572" i="1"/>
  <c r="H1572" i="1"/>
  <c r="G1572" i="1"/>
  <c r="F1572" i="1"/>
  <c r="E1572" i="1"/>
  <c r="D1572" i="1"/>
  <c r="C1572" i="1"/>
  <c r="B1572" i="1"/>
  <c r="N1571" i="1"/>
  <c r="H1571" i="1"/>
  <c r="G1571" i="1"/>
  <c r="F1571" i="1"/>
  <c r="E1571" i="1"/>
  <c r="D1571" i="1"/>
  <c r="C1571" i="1"/>
  <c r="B1571" i="1"/>
  <c r="N1570" i="1"/>
  <c r="H1570" i="1"/>
  <c r="G1570" i="1"/>
  <c r="F1570" i="1"/>
  <c r="E1570" i="1"/>
  <c r="D1570" i="1"/>
  <c r="C1570" i="1"/>
  <c r="B1570" i="1"/>
  <c r="N1569" i="1"/>
  <c r="H1569" i="1"/>
  <c r="G1569" i="1"/>
  <c r="F1569" i="1"/>
  <c r="E1569" i="1"/>
  <c r="D1569" i="1"/>
  <c r="C1569" i="1"/>
  <c r="B1569" i="1"/>
  <c r="N1568" i="1"/>
  <c r="H1568" i="1"/>
  <c r="G1568" i="1"/>
  <c r="F1568" i="1"/>
  <c r="E1568" i="1"/>
  <c r="D1568" i="1"/>
  <c r="C1568" i="1"/>
  <c r="B1568" i="1"/>
  <c r="N1567" i="1"/>
  <c r="H1567" i="1"/>
  <c r="G1567" i="1"/>
  <c r="F1567" i="1"/>
  <c r="E1567" i="1"/>
  <c r="D1567" i="1"/>
  <c r="C1567" i="1"/>
  <c r="B1567" i="1"/>
  <c r="N1566" i="1"/>
  <c r="H1566" i="1"/>
  <c r="G1566" i="1"/>
  <c r="F1566" i="1"/>
  <c r="D1566" i="1"/>
  <c r="C1566" i="1"/>
  <c r="B1566" i="1"/>
  <c r="N1565" i="1"/>
  <c r="H1565" i="1"/>
  <c r="G1565" i="1"/>
  <c r="F1565" i="1"/>
  <c r="D1565" i="1"/>
  <c r="C1565" i="1"/>
  <c r="B1565" i="1"/>
  <c r="H1564" i="1"/>
  <c r="G1564" i="1"/>
  <c r="F1564" i="1"/>
  <c r="E1564" i="1"/>
  <c r="D1564" i="1"/>
  <c r="C1564" i="1"/>
  <c r="B1564" i="1"/>
  <c r="H1563" i="1"/>
  <c r="G1563" i="1"/>
  <c r="F1563" i="1"/>
  <c r="E1563" i="1"/>
  <c r="D1563" i="1"/>
  <c r="C1563" i="1"/>
  <c r="B1563" i="1"/>
  <c r="H1562" i="1"/>
  <c r="G1562" i="1"/>
  <c r="F1562" i="1"/>
  <c r="E1562" i="1"/>
  <c r="D1562" i="1"/>
  <c r="C1562" i="1"/>
  <c r="B1562" i="1"/>
  <c r="H1561" i="1"/>
  <c r="G1561" i="1"/>
  <c r="F1561" i="1"/>
  <c r="E1561" i="1"/>
  <c r="D1561" i="1"/>
  <c r="C1561" i="1"/>
  <c r="B1561" i="1"/>
  <c r="H1560" i="1"/>
  <c r="F1560" i="1"/>
  <c r="E1560" i="1"/>
  <c r="D1560" i="1"/>
  <c r="C1560" i="1"/>
  <c r="B1560" i="1"/>
  <c r="N1559" i="1"/>
  <c r="H1559" i="1"/>
  <c r="F1559" i="1"/>
  <c r="E1559" i="1"/>
  <c r="D1559" i="1"/>
  <c r="C1559" i="1"/>
  <c r="B1559" i="1"/>
  <c r="H1558" i="1"/>
  <c r="H1557" i="1"/>
  <c r="H1556" i="1"/>
  <c r="P1477" i="1"/>
  <c r="F1477" i="1"/>
  <c r="E1477" i="1"/>
  <c r="D1477" i="1"/>
  <c r="C1477" i="1"/>
  <c r="P1476" i="1"/>
  <c r="F1476" i="1"/>
  <c r="E1476" i="1"/>
  <c r="D1476" i="1"/>
  <c r="C1476" i="1"/>
  <c r="P1475" i="1"/>
  <c r="F1475" i="1"/>
  <c r="E1475" i="1"/>
  <c r="D1475" i="1"/>
  <c r="C1475" i="1"/>
  <c r="P1474" i="1"/>
  <c r="F1474" i="1"/>
  <c r="E1474" i="1"/>
  <c r="D1474" i="1"/>
  <c r="C1474" i="1"/>
  <c r="P1473" i="1"/>
  <c r="F1473" i="1"/>
  <c r="E1473" i="1"/>
  <c r="D1473" i="1"/>
  <c r="C1473" i="1"/>
  <c r="P1472" i="1"/>
  <c r="F1472" i="1"/>
  <c r="E1472" i="1"/>
  <c r="D1472" i="1"/>
  <c r="C1472" i="1"/>
  <c r="P1471" i="1"/>
  <c r="F1471" i="1"/>
  <c r="E1471" i="1"/>
  <c r="D1471" i="1"/>
  <c r="C1471" i="1"/>
  <c r="P1470" i="1"/>
  <c r="F1470" i="1"/>
  <c r="E1470" i="1"/>
  <c r="D1470" i="1"/>
  <c r="C1470" i="1"/>
  <c r="P1469" i="1"/>
  <c r="F1469" i="1"/>
  <c r="E1469" i="1"/>
  <c r="D1469" i="1"/>
  <c r="C1469" i="1"/>
  <c r="P1468" i="1"/>
  <c r="F1468" i="1"/>
  <c r="D1468" i="1"/>
  <c r="C1468" i="1"/>
  <c r="P1465" i="1"/>
  <c r="N1465" i="1"/>
  <c r="M1465" i="1"/>
  <c r="L1465" i="1"/>
  <c r="K1465" i="1"/>
  <c r="H1465" i="1"/>
  <c r="G1465" i="1"/>
  <c r="F1465" i="1"/>
  <c r="E1465" i="1"/>
  <c r="D1465" i="1"/>
  <c r="C1465" i="1"/>
  <c r="P1464" i="1"/>
  <c r="N1464" i="1"/>
  <c r="M1464" i="1"/>
  <c r="L1464" i="1"/>
  <c r="K1464" i="1"/>
  <c r="H1464" i="1"/>
  <c r="G1464" i="1"/>
  <c r="F1464" i="1"/>
  <c r="E1464" i="1"/>
  <c r="D1464" i="1"/>
  <c r="C1464" i="1"/>
  <c r="P1463" i="1"/>
  <c r="N1463" i="1"/>
  <c r="M1463" i="1"/>
  <c r="L1463" i="1"/>
  <c r="K1463" i="1"/>
  <c r="H1463" i="1"/>
  <c r="G1463" i="1"/>
  <c r="F1463" i="1"/>
  <c r="E1463" i="1"/>
  <c r="D1463" i="1"/>
  <c r="C1463" i="1"/>
  <c r="P1462" i="1"/>
  <c r="N1462" i="1"/>
  <c r="M1462" i="1"/>
  <c r="L1462" i="1"/>
  <c r="K1462" i="1"/>
  <c r="H1462" i="1"/>
  <c r="G1462" i="1"/>
  <c r="F1462" i="1"/>
  <c r="E1462" i="1"/>
  <c r="D1462" i="1"/>
  <c r="C1462" i="1"/>
  <c r="P1461" i="1"/>
  <c r="N1461" i="1"/>
  <c r="M1461" i="1"/>
  <c r="L1461" i="1"/>
  <c r="K1461" i="1"/>
  <c r="H1461" i="1"/>
  <c r="G1461" i="1"/>
  <c r="F1461" i="1"/>
  <c r="E1461" i="1"/>
  <c r="D1461" i="1"/>
  <c r="C1461" i="1"/>
  <c r="P1460" i="1"/>
  <c r="N1460" i="1"/>
  <c r="M1460" i="1"/>
  <c r="L1460" i="1"/>
  <c r="K1460" i="1"/>
  <c r="H1460" i="1"/>
  <c r="G1460" i="1"/>
  <c r="F1460" i="1"/>
  <c r="E1460" i="1"/>
  <c r="D1460" i="1"/>
  <c r="C1460" i="1"/>
  <c r="P1459" i="1"/>
  <c r="N1459" i="1"/>
  <c r="M1459" i="1"/>
  <c r="L1459" i="1"/>
  <c r="K1459" i="1"/>
  <c r="H1459" i="1"/>
  <c r="G1459" i="1"/>
  <c r="F1459" i="1"/>
  <c r="E1459" i="1"/>
  <c r="D1459" i="1"/>
  <c r="C1459" i="1"/>
  <c r="P1458" i="1"/>
  <c r="N1458" i="1"/>
  <c r="M1458" i="1"/>
  <c r="L1458" i="1"/>
  <c r="K1458" i="1"/>
  <c r="H1458" i="1"/>
  <c r="G1458" i="1"/>
  <c r="F1458" i="1"/>
  <c r="E1458" i="1"/>
  <c r="D1458" i="1"/>
  <c r="C1458" i="1"/>
  <c r="P1457" i="1"/>
  <c r="N1457" i="1"/>
  <c r="M1457" i="1"/>
  <c r="L1457" i="1"/>
  <c r="K1457" i="1"/>
  <c r="H1457" i="1"/>
  <c r="G1457" i="1"/>
  <c r="F1457" i="1"/>
  <c r="E1457" i="1"/>
  <c r="D1457" i="1"/>
  <c r="C1457" i="1"/>
  <c r="P1456" i="1"/>
  <c r="N1456" i="1"/>
  <c r="M1456" i="1"/>
  <c r="L1456" i="1"/>
  <c r="K1456" i="1"/>
  <c r="H1456" i="1"/>
  <c r="G1456" i="1"/>
  <c r="F1456" i="1"/>
  <c r="E1456" i="1"/>
  <c r="D1456" i="1"/>
  <c r="C1456" i="1"/>
  <c r="P1455" i="1"/>
  <c r="G1455" i="1"/>
  <c r="F1455" i="1"/>
  <c r="D1455" i="1"/>
  <c r="C1455" i="1"/>
  <c r="R1453" i="1"/>
  <c r="M1453" i="1"/>
  <c r="H1453" i="1"/>
  <c r="R1452" i="1"/>
  <c r="M1452" i="1"/>
  <c r="H1452" i="1"/>
  <c r="R1451" i="1"/>
  <c r="M1451" i="1"/>
  <c r="H1451" i="1"/>
  <c r="R1450" i="1"/>
  <c r="M1450" i="1"/>
  <c r="H1450" i="1"/>
  <c r="R1449" i="1"/>
  <c r="M1449" i="1"/>
  <c r="H1449" i="1"/>
  <c r="R1448" i="1"/>
  <c r="M1448" i="1"/>
  <c r="H1448" i="1"/>
  <c r="R1447" i="1"/>
  <c r="M1447" i="1"/>
  <c r="H1447" i="1"/>
  <c r="R1446" i="1"/>
  <c r="M1446" i="1"/>
  <c r="H1446" i="1"/>
  <c r="R1445" i="1"/>
  <c r="M1445" i="1"/>
  <c r="H1445" i="1"/>
  <c r="R1444" i="1"/>
  <c r="M1444" i="1"/>
  <c r="H1444" i="1"/>
  <c r="R1443" i="1"/>
  <c r="M1443" i="1"/>
  <c r="H1443" i="1"/>
  <c r="M1442" i="1"/>
  <c r="H1442" i="1"/>
  <c r="R1441" i="1"/>
  <c r="Q1441" i="1"/>
  <c r="M1441" i="1"/>
  <c r="H1441" i="1"/>
  <c r="F1441" i="1"/>
  <c r="R1440" i="1"/>
  <c r="Q1440" i="1"/>
  <c r="M1440" i="1"/>
  <c r="H1440" i="1"/>
  <c r="F1440" i="1"/>
  <c r="R1439" i="1"/>
  <c r="Q1439" i="1"/>
  <c r="M1439" i="1"/>
  <c r="H1439" i="1"/>
  <c r="R1438" i="1"/>
  <c r="Q1438" i="1"/>
  <c r="M1438" i="1"/>
  <c r="H1438" i="1"/>
  <c r="R1437" i="1"/>
  <c r="Q1437" i="1"/>
  <c r="M1437" i="1"/>
  <c r="H1437" i="1"/>
  <c r="R1436" i="1"/>
  <c r="Q1436" i="1"/>
  <c r="M1436" i="1"/>
  <c r="H1436" i="1"/>
  <c r="R1435" i="1"/>
  <c r="Q1435" i="1"/>
  <c r="M1435" i="1"/>
  <c r="H1435" i="1"/>
  <c r="R1434" i="1"/>
  <c r="Q1434" i="1"/>
  <c r="M1434" i="1"/>
  <c r="H1434" i="1"/>
  <c r="R1433" i="1"/>
  <c r="Q1433" i="1"/>
  <c r="M1433" i="1"/>
  <c r="H1433" i="1"/>
  <c r="R1432" i="1"/>
  <c r="Q1432" i="1"/>
  <c r="M1432" i="1"/>
  <c r="H1432" i="1"/>
  <c r="R1431" i="1"/>
  <c r="Q1431" i="1"/>
  <c r="M1431" i="1"/>
  <c r="H1431" i="1"/>
  <c r="R1430" i="1"/>
  <c r="Q1430" i="1"/>
  <c r="M1430" i="1"/>
  <c r="H1430" i="1"/>
  <c r="R1429" i="1"/>
  <c r="Q1429" i="1"/>
  <c r="P1429" i="1"/>
  <c r="M1429" i="1"/>
  <c r="H1429" i="1"/>
  <c r="R1428" i="1"/>
  <c r="Q1428" i="1"/>
  <c r="P1428" i="1"/>
  <c r="M1428" i="1"/>
  <c r="H1428" i="1"/>
  <c r="R1427" i="1"/>
  <c r="Q1427" i="1"/>
  <c r="P1427" i="1"/>
  <c r="M1427" i="1"/>
  <c r="H1427" i="1"/>
  <c r="R1426" i="1"/>
  <c r="Q1426" i="1"/>
  <c r="P1426" i="1"/>
  <c r="M1426" i="1"/>
  <c r="H1426" i="1"/>
  <c r="R1425" i="1"/>
  <c r="Q1425" i="1"/>
  <c r="P1425" i="1"/>
  <c r="M1425" i="1"/>
  <c r="H1425" i="1"/>
  <c r="R1424" i="1"/>
  <c r="Q1424" i="1"/>
  <c r="P1424" i="1"/>
  <c r="M1424" i="1"/>
  <c r="H1424" i="1"/>
  <c r="R1423" i="1"/>
  <c r="Q1423" i="1"/>
  <c r="P1423" i="1"/>
  <c r="M1423" i="1"/>
  <c r="H1423" i="1"/>
  <c r="R1422" i="1"/>
  <c r="Q1422" i="1"/>
  <c r="P1422" i="1"/>
  <c r="M1422" i="1"/>
  <c r="H1422" i="1"/>
  <c r="R1421" i="1"/>
  <c r="Q1421" i="1"/>
  <c r="P1421" i="1"/>
  <c r="M1421" i="1"/>
  <c r="H1421" i="1"/>
  <c r="R1420" i="1"/>
  <c r="Q1420" i="1"/>
  <c r="P1420" i="1"/>
  <c r="M1420" i="1"/>
  <c r="H1420" i="1"/>
  <c r="R1419" i="1"/>
  <c r="Q1419" i="1"/>
  <c r="P1419" i="1"/>
  <c r="M1419" i="1"/>
  <c r="H1419" i="1"/>
  <c r="R1418" i="1"/>
  <c r="Q1418" i="1"/>
  <c r="P1418" i="1"/>
  <c r="M1418" i="1"/>
  <c r="H1418" i="1"/>
  <c r="R1417" i="1"/>
  <c r="Q1417" i="1"/>
  <c r="P1417" i="1"/>
  <c r="M1417" i="1"/>
  <c r="H1417" i="1"/>
  <c r="R1416" i="1"/>
  <c r="Q1416" i="1"/>
  <c r="P1416" i="1"/>
  <c r="M1416" i="1"/>
  <c r="H1416" i="1"/>
  <c r="R1415" i="1"/>
  <c r="Q1415" i="1"/>
  <c r="P1415" i="1"/>
  <c r="M1415" i="1"/>
  <c r="H1415" i="1"/>
  <c r="R1414" i="1"/>
  <c r="Q1414" i="1"/>
  <c r="P1414" i="1"/>
  <c r="M1414" i="1"/>
  <c r="H1414" i="1"/>
  <c r="R1413" i="1"/>
  <c r="Q1413" i="1"/>
  <c r="P1413" i="1"/>
  <c r="M1413" i="1"/>
  <c r="H1413" i="1"/>
  <c r="R1412" i="1"/>
  <c r="Q1412" i="1"/>
  <c r="P1412" i="1"/>
  <c r="M1412" i="1"/>
  <c r="H1412" i="1"/>
  <c r="R1411" i="1"/>
  <c r="Q1411" i="1"/>
  <c r="P1411" i="1"/>
  <c r="M1411" i="1"/>
  <c r="H1411" i="1"/>
  <c r="R1410" i="1"/>
  <c r="Q1410" i="1"/>
  <c r="P1410" i="1"/>
  <c r="M1410" i="1"/>
  <c r="H1410" i="1"/>
  <c r="R1409" i="1"/>
  <c r="Q1409" i="1"/>
  <c r="P1409" i="1"/>
  <c r="M1409" i="1"/>
  <c r="H1409" i="1"/>
  <c r="R1408" i="1"/>
  <c r="Q1408" i="1"/>
  <c r="P1408" i="1"/>
  <c r="M1408" i="1"/>
  <c r="H1408" i="1"/>
  <c r="R1407" i="1"/>
  <c r="Q1407" i="1"/>
  <c r="P1407" i="1"/>
  <c r="M1407" i="1"/>
  <c r="H1407" i="1"/>
  <c r="R1406" i="1"/>
  <c r="Q1406" i="1"/>
  <c r="P1406" i="1"/>
  <c r="M1406" i="1"/>
  <c r="H1406" i="1"/>
  <c r="R1405" i="1"/>
  <c r="Q1405" i="1"/>
  <c r="P1405" i="1"/>
  <c r="M1405" i="1"/>
  <c r="H1405" i="1"/>
  <c r="R1404" i="1"/>
  <c r="Q1404" i="1"/>
  <c r="P1404" i="1"/>
  <c r="M1404" i="1"/>
  <c r="H1404" i="1"/>
  <c r="R1403" i="1"/>
  <c r="Q1403" i="1"/>
  <c r="P1403" i="1"/>
  <c r="M1403" i="1"/>
  <c r="H1403" i="1"/>
  <c r="R1402" i="1"/>
  <c r="Q1402" i="1"/>
  <c r="P1402" i="1"/>
  <c r="M1402" i="1"/>
  <c r="H1402" i="1"/>
  <c r="R1401" i="1"/>
  <c r="Q1401" i="1"/>
  <c r="P1401" i="1"/>
  <c r="M1401" i="1"/>
  <c r="H1401" i="1"/>
  <c r="R1400" i="1"/>
  <c r="Q1400" i="1"/>
  <c r="P1400" i="1"/>
  <c r="M1400" i="1"/>
  <c r="H1400" i="1"/>
  <c r="R1399" i="1"/>
  <c r="Q1399" i="1"/>
  <c r="P1399" i="1"/>
  <c r="M1399" i="1"/>
  <c r="H1399" i="1"/>
  <c r="R1398" i="1"/>
  <c r="Q1398" i="1"/>
  <c r="P1398" i="1"/>
  <c r="M1398" i="1"/>
  <c r="H1398" i="1"/>
  <c r="R1397" i="1"/>
  <c r="Q1397" i="1"/>
  <c r="M1397" i="1"/>
  <c r="H1397" i="1"/>
  <c r="R1396" i="1"/>
  <c r="Q1396" i="1"/>
  <c r="M1396" i="1"/>
  <c r="H1396" i="1"/>
  <c r="R1395" i="1"/>
  <c r="Q1395" i="1"/>
  <c r="M1395" i="1"/>
  <c r="H1395" i="1"/>
  <c r="R1394" i="1"/>
  <c r="Q1394" i="1"/>
  <c r="M1394" i="1"/>
  <c r="H1394" i="1"/>
  <c r="R1393" i="1"/>
  <c r="Q1393" i="1"/>
  <c r="M1393" i="1"/>
  <c r="H1393" i="1"/>
  <c r="R1392" i="1"/>
  <c r="Q1392" i="1"/>
  <c r="M1392" i="1"/>
  <c r="H1392" i="1"/>
  <c r="R1391" i="1"/>
  <c r="Q1391" i="1"/>
  <c r="M1391" i="1"/>
  <c r="H1391" i="1"/>
  <c r="R1390" i="1"/>
  <c r="Q1390" i="1"/>
  <c r="M1390" i="1"/>
  <c r="H1390" i="1"/>
  <c r="R1389" i="1"/>
  <c r="Q1389" i="1"/>
  <c r="M1389" i="1"/>
  <c r="H1389" i="1"/>
  <c r="R1388" i="1"/>
  <c r="Q1388" i="1"/>
  <c r="M1388" i="1"/>
  <c r="H1388" i="1"/>
  <c r="R1387" i="1"/>
  <c r="Q1387" i="1"/>
  <c r="M1387" i="1"/>
  <c r="H1387" i="1"/>
  <c r="R1386" i="1"/>
  <c r="Q1386" i="1"/>
  <c r="M1386" i="1"/>
  <c r="H1386" i="1"/>
  <c r="R1385" i="1"/>
  <c r="Q1385" i="1"/>
  <c r="M1385" i="1"/>
  <c r="H1385" i="1"/>
  <c r="R1384" i="1"/>
  <c r="Q1384" i="1"/>
  <c r="M1384" i="1"/>
  <c r="H1384" i="1"/>
  <c r="R1383" i="1"/>
  <c r="Q1383" i="1"/>
  <c r="M1383" i="1"/>
  <c r="H1383" i="1"/>
  <c r="F1381" i="1"/>
  <c r="R1379" i="1"/>
  <c r="J1379" i="1"/>
  <c r="R1378" i="1"/>
  <c r="J1378" i="1"/>
  <c r="R1377" i="1"/>
  <c r="J1377" i="1"/>
  <c r="R1376" i="1"/>
  <c r="J1376" i="1"/>
  <c r="R1375" i="1"/>
  <c r="J1375" i="1"/>
  <c r="R1374" i="1"/>
  <c r="J1374" i="1"/>
  <c r="R1373" i="1"/>
  <c r="J1373" i="1"/>
  <c r="R1372" i="1"/>
  <c r="J1372" i="1"/>
  <c r="R1371" i="1"/>
  <c r="J1371" i="1"/>
  <c r="R1370" i="1"/>
  <c r="J1370" i="1"/>
  <c r="R1369" i="1"/>
  <c r="J1369" i="1"/>
  <c r="R1368" i="1"/>
  <c r="J1368" i="1"/>
  <c r="R1367" i="1"/>
  <c r="J1367" i="1"/>
  <c r="R1366" i="1"/>
  <c r="J1366" i="1"/>
  <c r="R1365" i="1"/>
  <c r="J1365" i="1"/>
  <c r="R1364" i="1"/>
  <c r="J1364" i="1"/>
  <c r="R1363" i="1"/>
  <c r="J1363" i="1"/>
  <c r="R1362" i="1"/>
  <c r="J1362" i="1"/>
  <c r="R1361" i="1"/>
  <c r="J1361" i="1"/>
  <c r="R1360" i="1"/>
  <c r="J1360" i="1"/>
  <c r="S1299" i="1"/>
  <c r="S1298" i="1"/>
  <c r="S1297" i="1"/>
  <c r="S1296" i="1"/>
  <c r="S1295" i="1"/>
  <c r="S1294" i="1"/>
  <c r="S1293" i="1"/>
  <c r="S1292" i="1"/>
  <c r="L1128" i="1"/>
  <c r="L1106" i="1"/>
  <c r="P1066" i="1"/>
  <c r="M1066" i="1"/>
  <c r="P1065" i="1"/>
  <c r="M1065" i="1"/>
  <c r="P1064" i="1"/>
  <c r="M1064" i="1"/>
  <c r="P1063" i="1"/>
  <c r="M1063" i="1"/>
  <c r="P1062" i="1"/>
  <c r="M1062" i="1"/>
  <c r="P1061" i="1"/>
  <c r="M1061" i="1"/>
  <c r="P1060" i="1"/>
  <c r="M1060" i="1"/>
  <c r="P1059" i="1"/>
  <c r="M1059" i="1"/>
  <c r="P1058" i="1"/>
  <c r="M1058" i="1"/>
  <c r="P1057" i="1"/>
  <c r="M1057" i="1"/>
  <c r="P1056" i="1"/>
  <c r="M1056" i="1"/>
  <c r="P1055" i="1"/>
  <c r="M1055" i="1"/>
  <c r="P1054" i="1"/>
  <c r="M1054" i="1"/>
  <c r="P1053" i="1"/>
  <c r="M1053" i="1"/>
  <c r="P1052" i="1"/>
  <c r="M1052" i="1"/>
  <c r="P1051" i="1"/>
  <c r="M1051" i="1"/>
  <c r="P1050" i="1"/>
  <c r="M1050" i="1"/>
  <c r="P1049" i="1"/>
  <c r="M1049" i="1"/>
  <c r="P1048" i="1"/>
  <c r="M1048" i="1"/>
  <c r="P1047" i="1"/>
  <c r="M1047" i="1"/>
  <c r="P1046" i="1"/>
  <c r="M1046" i="1"/>
  <c r="P1045" i="1"/>
  <c r="M1045" i="1"/>
  <c r="P1044" i="1"/>
  <c r="M1044" i="1"/>
  <c r="P1043" i="1"/>
  <c r="M1043" i="1"/>
  <c r="P1042" i="1"/>
  <c r="M1042" i="1"/>
  <c r="P1041" i="1"/>
  <c r="M1041" i="1"/>
  <c r="P1040" i="1"/>
  <c r="M1040" i="1"/>
  <c r="P1039" i="1"/>
  <c r="M1039" i="1"/>
  <c r="P1038" i="1"/>
  <c r="M1038" i="1"/>
  <c r="P1037" i="1"/>
  <c r="M1037" i="1"/>
  <c r="P1036" i="1"/>
  <c r="M1036" i="1"/>
  <c r="P1035" i="1"/>
  <c r="M1035" i="1"/>
  <c r="P1034" i="1"/>
  <c r="M1034" i="1"/>
  <c r="P1033" i="1"/>
  <c r="M1033" i="1"/>
  <c r="P1032" i="1"/>
  <c r="M1032" i="1"/>
  <c r="P1031" i="1"/>
  <c r="M1031" i="1"/>
  <c r="P1030" i="1"/>
  <c r="M1030" i="1"/>
  <c r="P1029" i="1"/>
  <c r="M1029" i="1"/>
  <c r="P1028" i="1"/>
  <c r="M1028" i="1"/>
  <c r="P1027" i="1"/>
  <c r="M1027" i="1"/>
  <c r="P1026" i="1"/>
  <c r="M1026" i="1"/>
  <c r="P1025" i="1"/>
  <c r="M1025" i="1"/>
  <c r="P1024" i="1"/>
  <c r="M1024" i="1"/>
  <c r="P1023" i="1"/>
  <c r="M1023" i="1"/>
  <c r="P1022" i="1"/>
  <c r="M1022" i="1"/>
  <c r="P1021" i="1"/>
  <c r="M1021" i="1"/>
  <c r="P1020" i="1"/>
  <c r="M1020" i="1"/>
  <c r="P1019" i="1"/>
  <c r="M1019" i="1"/>
  <c r="P1018" i="1"/>
  <c r="M1018" i="1"/>
  <c r="P1017" i="1"/>
  <c r="M1017" i="1"/>
  <c r="P1016" i="1"/>
  <c r="M1016" i="1"/>
  <c r="P1015" i="1"/>
  <c r="M1015" i="1"/>
  <c r="P1014" i="1"/>
  <c r="M1014" i="1"/>
  <c r="P1013" i="1"/>
  <c r="M1013" i="1"/>
  <c r="P1012" i="1"/>
  <c r="M1012" i="1"/>
  <c r="P1011" i="1"/>
  <c r="M1011" i="1"/>
  <c r="P1010" i="1"/>
  <c r="M1010" i="1"/>
  <c r="P1009" i="1"/>
  <c r="M1009" i="1"/>
  <c r="P1008" i="1"/>
  <c r="M1008" i="1"/>
  <c r="P1007" i="1"/>
  <c r="M1007" i="1"/>
  <c r="P1006" i="1"/>
  <c r="M1006" i="1"/>
  <c r="P1005" i="1"/>
  <c r="M1005" i="1"/>
  <c r="P1004" i="1"/>
  <c r="M1004" i="1"/>
  <c r="P1003" i="1"/>
  <c r="M1003" i="1"/>
  <c r="P1002" i="1"/>
  <c r="M1002" i="1"/>
  <c r="H1002" i="1"/>
  <c r="H944" i="1"/>
  <c r="L942" i="1"/>
  <c r="P927" i="1"/>
  <c r="P926" i="1"/>
  <c r="M898" i="1"/>
  <c r="J898" i="1"/>
  <c r="H876" i="1"/>
  <c r="F852" i="1"/>
  <c r="F851" i="1"/>
  <c r="F850" i="1"/>
  <c r="C836" i="1"/>
  <c r="C835" i="1"/>
  <c r="C834" i="1"/>
  <c r="C833" i="1"/>
  <c r="C831" i="1"/>
  <c r="C830" i="1"/>
  <c r="C829" i="1"/>
  <c r="C828" i="1"/>
  <c r="C826" i="1"/>
  <c r="C825" i="1"/>
  <c r="C824" i="1"/>
  <c r="C823" i="1"/>
  <c r="C821" i="1"/>
  <c r="C820" i="1"/>
  <c r="C819" i="1"/>
  <c r="C818" i="1"/>
  <c r="C816" i="1"/>
  <c r="C815" i="1"/>
  <c r="C814" i="1"/>
  <c r="C813" i="1"/>
  <c r="C811" i="1"/>
  <c r="C810" i="1"/>
  <c r="C809" i="1"/>
  <c r="C808" i="1"/>
  <c r="C806" i="1"/>
  <c r="C805" i="1"/>
  <c r="C804" i="1"/>
  <c r="C803" i="1"/>
  <c r="C801" i="1"/>
  <c r="C800" i="1"/>
  <c r="C799" i="1"/>
  <c r="C798" i="1"/>
  <c r="C796" i="1"/>
  <c r="C795" i="1"/>
  <c r="C794" i="1"/>
  <c r="C793" i="1"/>
  <c r="H435" i="1"/>
  <c r="H434" i="1"/>
  <c r="H433" i="1"/>
  <c r="L432" i="1"/>
  <c r="H432" i="1"/>
  <c r="H431" i="1"/>
  <c r="H430" i="1"/>
  <c r="H429" i="1"/>
  <c r="H427" i="1"/>
  <c r="H426" i="1"/>
  <c r="H425" i="1"/>
  <c r="H424" i="1"/>
  <c r="H423" i="1"/>
  <c r="H422" i="1"/>
  <c r="H421" i="1"/>
  <c r="H420" i="1"/>
  <c r="H419" i="1"/>
  <c r="H418" i="1"/>
  <c r="H417" i="1"/>
  <c r="H416" i="1"/>
  <c r="H415" i="1"/>
  <c r="H414" i="1"/>
  <c r="H413" i="1"/>
  <c r="H412" i="1"/>
  <c r="Q411" i="1"/>
  <c r="P411" i="1"/>
  <c r="H411" i="1"/>
  <c r="Q410" i="1"/>
  <c r="P410" i="1"/>
  <c r="H410" i="1"/>
  <c r="Q409" i="1"/>
  <c r="P409" i="1"/>
  <c r="H409" i="1"/>
  <c r="Q408" i="1"/>
  <c r="P408" i="1"/>
  <c r="H408" i="1"/>
  <c r="Q407" i="1"/>
  <c r="P407" i="1"/>
  <c r="H407" i="1"/>
  <c r="Q406" i="1"/>
  <c r="P406" i="1"/>
  <c r="H406" i="1"/>
  <c r="Q405" i="1"/>
  <c r="P405" i="1"/>
  <c r="H405" i="1"/>
  <c r="Q404" i="1"/>
  <c r="P404" i="1"/>
  <c r="H404" i="1"/>
  <c r="Q403" i="1"/>
  <c r="P403" i="1"/>
  <c r="H403" i="1"/>
  <c r="Q402" i="1"/>
  <c r="P402" i="1"/>
  <c r="H402" i="1"/>
  <c r="Q401" i="1"/>
  <c r="P401" i="1"/>
  <c r="H401" i="1"/>
  <c r="Q400" i="1"/>
  <c r="P400" i="1"/>
  <c r="H400" i="1"/>
  <c r="Q399" i="1"/>
  <c r="P399" i="1"/>
  <c r="H399" i="1"/>
  <c r="Q398" i="1"/>
  <c r="P398" i="1"/>
  <c r="H398" i="1"/>
  <c r="Q397" i="1"/>
  <c r="P397" i="1"/>
  <c r="H397" i="1"/>
  <c r="Q396" i="1"/>
  <c r="P396" i="1"/>
  <c r="H396" i="1"/>
  <c r="Q395" i="1"/>
  <c r="P395" i="1"/>
  <c r="H395" i="1"/>
  <c r="Q394" i="1"/>
  <c r="P394" i="1"/>
  <c r="H394" i="1"/>
  <c r="Q393" i="1"/>
  <c r="P393" i="1"/>
  <c r="H393" i="1"/>
  <c r="Q392" i="1"/>
  <c r="P392" i="1"/>
  <c r="H392" i="1"/>
  <c r="Q391" i="1"/>
  <c r="P391" i="1"/>
  <c r="H391" i="1"/>
  <c r="Q390" i="1"/>
  <c r="P390" i="1"/>
  <c r="H390" i="1"/>
  <c r="Q389" i="1"/>
  <c r="P389" i="1"/>
  <c r="H389" i="1"/>
  <c r="Q388" i="1"/>
  <c r="P388" i="1"/>
  <c r="H388" i="1"/>
  <c r="Q387" i="1"/>
  <c r="P387" i="1"/>
  <c r="H387" i="1"/>
  <c r="Q386" i="1"/>
  <c r="P386" i="1"/>
  <c r="H386" i="1"/>
  <c r="Q385" i="1"/>
  <c r="P385" i="1"/>
  <c r="H385" i="1"/>
  <c r="Q384" i="1"/>
  <c r="P384" i="1"/>
  <c r="H384" i="1"/>
  <c r="Q383" i="1"/>
  <c r="P383" i="1"/>
  <c r="H383" i="1"/>
  <c r="Q382" i="1"/>
  <c r="P382" i="1"/>
  <c r="H382" i="1"/>
  <c r="Q381" i="1"/>
  <c r="P381" i="1"/>
  <c r="H381" i="1"/>
  <c r="Q380" i="1"/>
  <c r="P380" i="1"/>
  <c r="H380" i="1"/>
  <c r="Q379" i="1"/>
  <c r="P379" i="1"/>
  <c r="H379" i="1"/>
  <c r="Q378" i="1"/>
  <c r="P378" i="1"/>
  <c r="H378" i="1"/>
  <c r="Q377" i="1"/>
  <c r="P377"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P351" i="1"/>
  <c r="H351" i="1"/>
  <c r="P350" i="1"/>
  <c r="H350" i="1"/>
  <c r="P349" i="1"/>
  <c r="H349" i="1"/>
  <c r="P348" i="1"/>
  <c r="H348" i="1"/>
  <c r="P347" i="1"/>
  <c r="H347" i="1"/>
  <c r="P346" i="1"/>
  <c r="H346" i="1"/>
  <c r="P345" i="1"/>
  <c r="H345" i="1"/>
  <c r="P344" i="1"/>
  <c r="H344" i="1"/>
  <c r="P343" i="1"/>
  <c r="H343" i="1"/>
  <c r="P342" i="1"/>
  <c r="H342" i="1"/>
  <c r="P341" i="1"/>
  <c r="H341" i="1"/>
  <c r="H340" i="1"/>
  <c r="H339" i="1"/>
  <c r="H338" i="1"/>
  <c r="H337" i="1"/>
  <c r="H336" i="1"/>
  <c r="H335" i="1"/>
  <c r="H334" i="1"/>
  <c r="H333" i="1"/>
  <c r="H332" i="1"/>
  <c r="H331" i="1"/>
  <c r="H330" i="1"/>
  <c r="H329" i="1"/>
  <c r="H328" i="1"/>
  <c r="H327" i="1"/>
  <c r="N326" i="1"/>
  <c r="H326" i="1"/>
  <c r="G326" i="1"/>
  <c r="F326" i="1"/>
  <c r="E326" i="1"/>
  <c r="D326" i="1"/>
  <c r="C326" i="1"/>
  <c r="B326" i="1"/>
  <c r="A326" i="1"/>
  <c r="N325" i="1"/>
  <c r="H325" i="1"/>
  <c r="G325" i="1"/>
  <c r="F325" i="1"/>
  <c r="D325" i="1"/>
  <c r="C325" i="1"/>
  <c r="B325" i="1"/>
  <c r="A325" i="1"/>
  <c r="N324" i="1"/>
  <c r="H324" i="1"/>
  <c r="G324" i="1"/>
  <c r="F324" i="1"/>
  <c r="E324" i="1"/>
  <c r="D324" i="1"/>
  <c r="C324" i="1"/>
  <c r="B324" i="1"/>
  <c r="A324" i="1"/>
  <c r="N323" i="1"/>
  <c r="H323" i="1"/>
  <c r="G323" i="1"/>
  <c r="F323" i="1"/>
  <c r="E323" i="1"/>
  <c r="D323" i="1"/>
  <c r="C323" i="1"/>
  <c r="B323" i="1"/>
  <c r="A323" i="1"/>
  <c r="N322" i="1"/>
  <c r="H322" i="1"/>
  <c r="G322" i="1"/>
  <c r="F322" i="1"/>
  <c r="E322" i="1"/>
  <c r="D322" i="1"/>
  <c r="C322" i="1"/>
  <c r="B322" i="1"/>
  <c r="A322" i="1"/>
  <c r="N321" i="1"/>
  <c r="H321" i="1"/>
  <c r="G321" i="1"/>
  <c r="F321" i="1"/>
  <c r="E321" i="1"/>
  <c r="D321" i="1"/>
  <c r="C321" i="1"/>
  <c r="B321" i="1"/>
  <c r="A321" i="1"/>
  <c r="N320" i="1"/>
  <c r="H320" i="1"/>
  <c r="G320" i="1"/>
  <c r="F320" i="1"/>
  <c r="E320" i="1"/>
  <c r="D320" i="1"/>
  <c r="C320" i="1"/>
  <c r="B320" i="1"/>
  <c r="A320" i="1"/>
  <c r="N319" i="1"/>
  <c r="H319" i="1"/>
  <c r="G319" i="1"/>
  <c r="F319" i="1"/>
  <c r="E319" i="1"/>
  <c r="D319" i="1"/>
  <c r="C319" i="1"/>
  <c r="B319" i="1"/>
  <c r="A319" i="1"/>
  <c r="N318" i="1"/>
  <c r="H318" i="1"/>
  <c r="G318" i="1"/>
  <c r="F318" i="1"/>
  <c r="E318" i="1"/>
  <c r="D318" i="1"/>
  <c r="C318" i="1"/>
  <c r="B318" i="1"/>
  <c r="A318" i="1"/>
  <c r="N317" i="1"/>
  <c r="H317" i="1"/>
  <c r="G317" i="1"/>
  <c r="F317" i="1"/>
  <c r="E317" i="1"/>
  <c r="D317" i="1"/>
  <c r="C317" i="1"/>
  <c r="B317" i="1"/>
  <c r="A317" i="1"/>
  <c r="N316" i="1"/>
  <c r="H316" i="1"/>
  <c r="G316" i="1"/>
  <c r="F316" i="1"/>
  <c r="E316" i="1"/>
  <c r="D316" i="1"/>
  <c r="C316" i="1"/>
  <c r="B316" i="1"/>
  <c r="A316" i="1"/>
  <c r="N315" i="1"/>
  <c r="H315" i="1"/>
  <c r="G315" i="1"/>
  <c r="F315" i="1"/>
  <c r="D315" i="1"/>
  <c r="C315" i="1"/>
  <c r="B315" i="1"/>
  <c r="A315" i="1"/>
  <c r="N314" i="1"/>
  <c r="H314" i="1"/>
  <c r="G314" i="1"/>
  <c r="F314" i="1"/>
  <c r="E314" i="1"/>
  <c r="D314" i="1"/>
  <c r="C314" i="1"/>
  <c r="B314" i="1"/>
  <c r="A314" i="1"/>
  <c r="N313" i="1"/>
  <c r="H313" i="1"/>
  <c r="G313" i="1"/>
  <c r="F313" i="1"/>
  <c r="E313" i="1"/>
  <c r="D313" i="1"/>
  <c r="C313" i="1"/>
  <c r="B313" i="1"/>
  <c r="A313" i="1"/>
  <c r="N312" i="1"/>
  <c r="H312" i="1"/>
  <c r="G312" i="1"/>
  <c r="F312" i="1"/>
  <c r="E312" i="1"/>
  <c r="D312" i="1"/>
  <c r="C312" i="1"/>
  <c r="B312" i="1"/>
  <c r="A312" i="1"/>
  <c r="N311" i="1"/>
  <c r="H311" i="1"/>
  <c r="G311" i="1"/>
  <c r="F311" i="1"/>
  <c r="E311" i="1"/>
  <c r="D311" i="1"/>
  <c r="C311" i="1"/>
  <c r="B311" i="1"/>
  <c r="A311" i="1"/>
  <c r="N310" i="1"/>
  <c r="H310" i="1"/>
  <c r="G310" i="1"/>
  <c r="F310" i="1"/>
  <c r="E310" i="1"/>
  <c r="D310" i="1"/>
  <c r="C310" i="1"/>
  <c r="B310" i="1"/>
  <c r="A310" i="1"/>
  <c r="N309" i="1"/>
  <c r="H309" i="1"/>
  <c r="G309" i="1"/>
  <c r="F309" i="1"/>
  <c r="E309" i="1"/>
  <c r="D309" i="1"/>
  <c r="C309" i="1"/>
  <c r="B309" i="1"/>
  <c r="A309" i="1"/>
  <c r="H308" i="1"/>
  <c r="G308" i="1"/>
  <c r="F308" i="1"/>
  <c r="E308" i="1"/>
  <c r="D308" i="1"/>
  <c r="C308" i="1"/>
  <c r="B308" i="1"/>
  <c r="A308" i="1"/>
  <c r="H307" i="1"/>
  <c r="G307" i="1"/>
  <c r="F307" i="1"/>
  <c r="E307" i="1"/>
  <c r="D307" i="1"/>
  <c r="C307" i="1"/>
  <c r="B307" i="1"/>
  <c r="A307" i="1"/>
  <c r="H306" i="1"/>
  <c r="G306" i="1"/>
  <c r="F306" i="1"/>
  <c r="E306" i="1"/>
  <c r="D306" i="1"/>
  <c r="C306" i="1"/>
  <c r="B306" i="1"/>
  <c r="A306" i="1"/>
  <c r="H305" i="1"/>
  <c r="G305" i="1"/>
  <c r="F305" i="1"/>
  <c r="D305" i="1"/>
  <c r="C305" i="1"/>
  <c r="B305" i="1"/>
  <c r="A305" i="1"/>
  <c r="H304" i="1"/>
  <c r="G304" i="1"/>
  <c r="F304" i="1"/>
  <c r="E304" i="1"/>
  <c r="D304" i="1"/>
  <c r="C304" i="1"/>
  <c r="B304" i="1"/>
  <c r="A304" i="1"/>
  <c r="H303" i="1"/>
  <c r="G303" i="1"/>
  <c r="F303" i="1"/>
  <c r="E303" i="1"/>
  <c r="D303" i="1"/>
  <c r="C303" i="1"/>
  <c r="B303" i="1"/>
  <c r="A303" i="1"/>
  <c r="H302" i="1"/>
  <c r="G302" i="1"/>
  <c r="F302" i="1"/>
  <c r="E302" i="1"/>
  <c r="D302" i="1"/>
  <c r="C302" i="1"/>
  <c r="B302" i="1"/>
  <c r="A302" i="1"/>
  <c r="H301" i="1"/>
  <c r="G301" i="1"/>
  <c r="F301" i="1"/>
  <c r="E301" i="1"/>
  <c r="D301" i="1"/>
  <c r="C301" i="1"/>
  <c r="B301" i="1"/>
  <c r="A301" i="1"/>
  <c r="H300" i="1"/>
  <c r="G300" i="1"/>
  <c r="F300" i="1"/>
  <c r="E300" i="1"/>
  <c r="D300" i="1"/>
  <c r="C300" i="1"/>
  <c r="B300" i="1"/>
  <c r="A300" i="1"/>
  <c r="H299" i="1"/>
  <c r="G299" i="1"/>
  <c r="F299" i="1"/>
  <c r="E299" i="1"/>
  <c r="D299" i="1"/>
  <c r="C299" i="1"/>
  <c r="B299" i="1"/>
  <c r="A299" i="1"/>
  <c r="H298" i="1"/>
  <c r="G298" i="1"/>
  <c r="F298" i="1"/>
  <c r="E298" i="1"/>
  <c r="D298" i="1"/>
  <c r="C298" i="1"/>
  <c r="B298" i="1"/>
  <c r="A298" i="1"/>
  <c r="H297" i="1"/>
  <c r="G297" i="1"/>
  <c r="F297" i="1"/>
  <c r="E297" i="1"/>
  <c r="D297" i="1"/>
  <c r="C297" i="1"/>
  <c r="B297" i="1"/>
  <c r="A297" i="1"/>
  <c r="H296" i="1"/>
  <c r="G296" i="1"/>
  <c r="F296" i="1"/>
  <c r="E296" i="1"/>
  <c r="D296" i="1"/>
  <c r="C296" i="1"/>
  <c r="B296" i="1"/>
  <c r="A296" i="1"/>
  <c r="H295" i="1"/>
  <c r="G295" i="1"/>
  <c r="F295" i="1"/>
  <c r="D295" i="1"/>
  <c r="C295" i="1"/>
  <c r="B295" i="1"/>
  <c r="A295" i="1"/>
  <c r="H294" i="1"/>
  <c r="G294" i="1"/>
  <c r="F294" i="1"/>
  <c r="E294" i="1"/>
  <c r="D294" i="1"/>
  <c r="C294" i="1"/>
  <c r="B294" i="1"/>
  <c r="A294" i="1"/>
  <c r="H293" i="1"/>
  <c r="G293" i="1"/>
  <c r="F293" i="1"/>
  <c r="E293" i="1"/>
  <c r="D293" i="1"/>
  <c r="C293" i="1"/>
  <c r="B293" i="1"/>
  <c r="A293" i="1"/>
  <c r="H292" i="1"/>
  <c r="G292" i="1"/>
  <c r="F292" i="1"/>
  <c r="E292" i="1"/>
  <c r="D292" i="1"/>
  <c r="C292" i="1"/>
  <c r="B292" i="1"/>
  <c r="A292" i="1"/>
  <c r="H291" i="1"/>
  <c r="G291" i="1"/>
  <c r="F291" i="1"/>
  <c r="E291" i="1"/>
  <c r="D291" i="1"/>
  <c r="C291" i="1"/>
  <c r="B291" i="1"/>
  <c r="A291" i="1"/>
  <c r="H290" i="1"/>
  <c r="G290" i="1"/>
  <c r="F290" i="1"/>
  <c r="E290" i="1"/>
  <c r="D290" i="1"/>
  <c r="C290" i="1"/>
  <c r="B290" i="1"/>
  <c r="A290" i="1"/>
  <c r="H289" i="1"/>
  <c r="G289" i="1"/>
  <c r="F289" i="1"/>
  <c r="E289" i="1"/>
  <c r="D289" i="1"/>
  <c r="C289" i="1"/>
  <c r="B289" i="1"/>
  <c r="A289" i="1"/>
  <c r="H288" i="1"/>
  <c r="G288" i="1"/>
  <c r="F288" i="1"/>
  <c r="E288" i="1"/>
  <c r="D288" i="1"/>
  <c r="C288" i="1"/>
  <c r="B288" i="1"/>
  <c r="A288" i="1"/>
  <c r="H287" i="1"/>
  <c r="G287" i="1"/>
  <c r="F287" i="1"/>
  <c r="E287" i="1"/>
  <c r="D287" i="1"/>
  <c r="C287" i="1"/>
  <c r="B287" i="1"/>
  <c r="A287" i="1"/>
  <c r="H286" i="1"/>
  <c r="G286" i="1"/>
  <c r="F286" i="1"/>
  <c r="E286" i="1"/>
  <c r="D286" i="1"/>
  <c r="C286" i="1"/>
  <c r="B286" i="1"/>
  <c r="A286" i="1"/>
  <c r="H285" i="1"/>
  <c r="G285" i="1"/>
  <c r="F285" i="1"/>
  <c r="D285" i="1"/>
  <c r="C285" i="1"/>
  <c r="B285" i="1"/>
  <c r="A285" i="1"/>
  <c r="H284" i="1"/>
  <c r="G284" i="1"/>
  <c r="F284" i="1"/>
  <c r="E284" i="1"/>
  <c r="D284" i="1"/>
  <c r="C284" i="1"/>
  <c r="B284" i="1"/>
  <c r="A284" i="1"/>
  <c r="H283" i="1"/>
  <c r="G283" i="1"/>
  <c r="F283" i="1"/>
  <c r="E283" i="1"/>
  <c r="D283" i="1"/>
  <c r="C283" i="1"/>
  <c r="B283" i="1"/>
  <c r="A283" i="1"/>
  <c r="H282" i="1"/>
  <c r="H281" i="1"/>
  <c r="H274" i="1"/>
  <c r="G274" i="1"/>
  <c r="F274" i="1"/>
  <c r="H273" i="1"/>
  <c r="G273" i="1"/>
  <c r="F273" i="1"/>
  <c r="H272" i="1"/>
  <c r="G272" i="1"/>
  <c r="F272" i="1"/>
  <c r="H271" i="1"/>
  <c r="G271" i="1"/>
  <c r="F271" i="1"/>
  <c r="H270" i="1"/>
  <c r="G270" i="1"/>
  <c r="F270" i="1"/>
  <c r="H269" i="1"/>
  <c r="G269" i="1"/>
  <c r="F269" i="1"/>
  <c r="H268" i="1"/>
  <c r="G268" i="1"/>
  <c r="F268" i="1"/>
  <c r="H267" i="1"/>
  <c r="G267" i="1"/>
  <c r="F267" i="1"/>
  <c r="H266" i="1"/>
  <c r="G266" i="1"/>
  <c r="F266" i="1"/>
  <c r="H265" i="1"/>
  <c r="G265" i="1"/>
  <c r="F265" i="1"/>
  <c r="H264" i="1"/>
  <c r="G264" i="1"/>
  <c r="F264" i="1"/>
  <c r="H263" i="1"/>
  <c r="G263" i="1"/>
  <c r="F263" i="1"/>
  <c r="H262" i="1"/>
  <c r="G262" i="1"/>
  <c r="F262" i="1"/>
  <c r="H261" i="1"/>
  <c r="G261" i="1"/>
  <c r="F261" i="1"/>
  <c r="H260" i="1"/>
  <c r="G260" i="1"/>
  <c r="F260" i="1"/>
  <c r="H259" i="1"/>
  <c r="G259" i="1"/>
  <c r="F259" i="1"/>
  <c r="H258" i="1"/>
  <c r="G258" i="1"/>
  <c r="F258" i="1"/>
  <c r="H257" i="1"/>
  <c r="G257" i="1"/>
  <c r="F257" i="1"/>
  <c r="H256" i="1"/>
  <c r="G256" i="1"/>
  <c r="F256"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O210" i="1"/>
  <c r="M210" i="1"/>
  <c r="L210" i="1"/>
  <c r="H210" i="1"/>
  <c r="G210" i="1"/>
  <c r="F210" i="1"/>
  <c r="A210" i="1"/>
  <c r="Q209" i="1"/>
  <c r="O209" i="1"/>
  <c r="M209" i="1"/>
  <c r="L209" i="1"/>
  <c r="H209" i="1"/>
  <c r="G209" i="1"/>
  <c r="F209" i="1"/>
  <c r="A209" i="1"/>
  <c r="Q208" i="1"/>
  <c r="O208" i="1"/>
  <c r="M208" i="1"/>
  <c r="L208" i="1"/>
  <c r="H208" i="1"/>
  <c r="G208" i="1"/>
  <c r="F208" i="1"/>
  <c r="A208" i="1"/>
  <c r="Q207" i="1"/>
  <c r="O207" i="1"/>
  <c r="M207" i="1"/>
  <c r="L207" i="1"/>
  <c r="H207" i="1"/>
  <c r="A207" i="1"/>
  <c r="Q206" i="1"/>
  <c r="O206" i="1"/>
  <c r="M206" i="1"/>
  <c r="L206" i="1"/>
  <c r="H206" i="1"/>
  <c r="A206" i="1"/>
  <c r="Q205" i="1"/>
  <c r="O205" i="1"/>
  <c r="M205" i="1"/>
  <c r="L205" i="1"/>
  <c r="H205" i="1"/>
  <c r="A205" i="1"/>
  <c r="Q204" i="1"/>
  <c r="O204" i="1"/>
  <c r="M204" i="1"/>
  <c r="L204" i="1"/>
  <c r="H204" i="1"/>
  <c r="A204" i="1"/>
  <c r="Q203" i="1"/>
  <c r="O203" i="1"/>
  <c r="M203" i="1"/>
  <c r="L203" i="1"/>
  <c r="H203" i="1"/>
  <c r="A203" i="1"/>
  <c r="Q202" i="1"/>
  <c r="O202" i="1"/>
  <c r="M202" i="1"/>
  <c r="L202" i="1"/>
  <c r="H202" i="1"/>
  <c r="A202" i="1"/>
  <c r="Q201" i="1"/>
  <c r="O201" i="1"/>
  <c r="M201" i="1"/>
  <c r="L201" i="1"/>
  <c r="H201" i="1"/>
  <c r="A201" i="1"/>
  <c r="Q200" i="1"/>
  <c r="O200" i="1"/>
  <c r="M200" i="1"/>
  <c r="L200" i="1"/>
  <c r="H200" i="1"/>
  <c r="A200" i="1"/>
  <c r="Q199" i="1"/>
  <c r="O199" i="1"/>
  <c r="M199" i="1"/>
  <c r="L199" i="1"/>
  <c r="H199" i="1"/>
  <c r="A199" i="1"/>
  <c r="Q198" i="1"/>
  <c r="O198" i="1"/>
  <c r="M198" i="1"/>
  <c r="L198" i="1"/>
  <c r="H198" i="1"/>
  <c r="A198" i="1"/>
  <c r="Q197" i="1"/>
  <c r="O197" i="1"/>
  <c r="M197" i="1"/>
  <c r="L197" i="1"/>
  <c r="H197" i="1"/>
  <c r="A197" i="1"/>
  <c r="Q196" i="1"/>
  <c r="O196" i="1"/>
  <c r="M196" i="1"/>
  <c r="L196" i="1"/>
  <c r="H196" i="1"/>
  <c r="A196" i="1"/>
  <c r="Q195" i="1"/>
  <c r="O195" i="1"/>
  <c r="M195" i="1"/>
  <c r="L195" i="1"/>
  <c r="H195" i="1"/>
  <c r="A195" i="1"/>
  <c r="Q194" i="1"/>
  <c r="O194" i="1"/>
  <c r="M194" i="1"/>
  <c r="L194" i="1"/>
  <c r="H194" i="1"/>
  <c r="F194" i="1"/>
  <c r="A194" i="1"/>
  <c r="Q193" i="1"/>
  <c r="O193" i="1"/>
  <c r="M193" i="1"/>
  <c r="L193" i="1"/>
  <c r="H193" i="1"/>
  <c r="F193" i="1"/>
  <c r="A193" i="1"/>
  <c r="Q192" i="1"/>
  <c r="M192" i="1"/>
  <c r="L192" i="1"/>
  <c r="H192" i="1"/>
  <c r="F192" i="1"/>
  <c r="A192" i="1"/>
  <c r="Q191" i="1"/>
  <c r="M191" i="1"/>
  <c r="L191" i="1"/>
  <c r="H191" i="1"/>
  <c r="A191" i="1"/>
  <c r="Q190" i="1"/>
  <c r="M190" i="1"/>
  <c r="L190" i="1"/>
  <c r="H190" i="1"/>
  <c r="A190" i="1"/>
  <c r="Q189" i="1"/>
  <c r="M189" i="1"/>
  <c r="L189" i="1"/>
  <c r="H189" i="1"/>
  <c r="A189" i="1"/>
  <c r="Q188" i="1"/>
  <c r="M188" i="1"/>
  <c r="L188" i="1"/>
  <c r="H188" i="1"/>
  <c r="A188" i="1"/>
  <c r="A187" i="1"/>
  <c r="A186" i="1"/>
  <c r="A185" i="1"/>
  <c r="A184" i="1"/>
  <c r="O182" i="1"/>
  <c r="O181" i="1"/>
  <c r="O180" i="1"/>
  <c r="O179" i="1"/>
  <c r="O178" i="1"/>
  <c r="O177" i="1"/>
  <c r="O176" i="1"/>
  <c r="O175" i="1"/>
  <c r="O174" i="1"/>
  <c r="O173" i="1"/>
  <c r="O172" i="1"/>
  <c r="O169" i="1"/>
  <c r="O168" i="1"/>
  <c r="O166" i="1"/>
  <c r="J166" i="1"/>
  <c r="I166" i="1"/>
  <c r="H166" i="1"/>
  <c r="O165" i="1"/>
  <c r="J165" i="1"/>
  <c r="I165" i="1"/>
  <c r="H165" i="1"/>
  <c r="J164" i="1"/>
  <c r="I164" i="1"/>
  <c r="H164" i="1"/>
  <c r="O163" i="1"/>
  <c r="J163" i="1"/>
  <c r="I163" i="1"/>
  <c r="H163" i="1"/>
  <c r="O162" i="1"/>
  <c r="J162" i="1"/>
  <c r="I162" i="1"/>
  <c r="H162" i="1"/>
  <c r="O161" i="1"/>
  <c r="J161" i="1"/>
  <c r="I161" i="1"/>
  <c r="H161" i="1"/>
  <c r="O160" i="1"/>
  <c r="J160" i="1"/>
  <c r="I160" i="1"/>
  <c r="H160" i="1"/>
  <c r="O159" i="1"/>
  <c r="J159" i="1"/>
  <c r="I159" i="1"/>
  <c r="H159" i="1"/>
  <c r="O158" i="1"/>
  <c r="J158" i="1"/>
  <c r="I158" i="1"/>
  <c r="H158" i="1"/>
  <c r="O157" i="1"/>
  <c r="J157" i="1"/>
  <c r="I157" i="1"/>
  <c r="H157" i="1"/>
  <c r="O156" i="1"/>
  <c r="J156" i="1"/>
  <c r="I156" i="1"/>
  <c r="H156" i="1"/>
  <c r="R154" i="1"/>
  <c r="O154" i="1"/>
  <c r="M154" i="1"/>
  <c r="L154" i="1"/>
  <c r="J154" i="1"/>
  <c r="I154" i="1"/>
  <c r="H154" i="1"/>
  <c r="B154" i="1"/>
  <c r="A154" i="1"/>
  <c r="R153" i="1"/>
  <c r="O153" i="1"/>
  <c r="M153" i="1"/>
  <c r="L153" i="1"/>
  <c r="J153" i="1"/>
  <c r="I153" i="1"/>
  <c r="H153" i="1"/>
  <c r="B153" i="1"/>
  <c r="A153" i="1"/>
  <c r="R152" i="1"/>
  <c r="O152" i="1"/>
  <c r="M152" i="1"/>
  <c r="L152" i="1"/>
  <c r="J152" i="1"/>
  <c r="I152" i="1"/>
  <c r="H152" i="1"/>
  <c r="B152" i="1"/>
  <c r="A152" i="1"/>
  <c r="R151" i="1"/>
  <c r="O151" i="1"/>
  <c r="M151" i="1"/>
  <c r="L151" i="1"/>
  <c r="J151" i="1"/>
  <c r="I151" i="1"/>
  <c r="H151" i="1"/>
  <c r="B151" i="1"/>
  <c r="A151" i="1"/>
  <c r="R150" i="1"/>
  <c r="O150" i="1"/>
  <c r="M150" i="1"/>
  <c r="L150" i="1"/>
  <c r="J150" i="1"/>
  <c r="I150" i="1"/>
  <c r="H150" i="1"/>
  <c r="B150" i="1"/>
  <c r="A150" i="1"/>
  <c r="R149" i="1"/>
  <c r="O149" i="1"/>
  <c r="M149" i="1"/>
  <c r="L149" i="1"/>
  <c r="J149" i="1"/>
  <c r="I149" i="1"/>
  <c r="H149" i="1"/>
  <c r="B149" i="1"/>
  <c r="A149" i="1"/>
  <c r="R148" i="1"/>
  <c r="O148" i="1"/>
  <c r="M148" i="1"/>
  <c r="L148" i="1"/>
  <c r="J148" i="1"/>
  <c r="I148" i="1"/>
  <c r="H148" i="1"/>
  <c r="B148" i="1"/>
  <c r="A148" i="1"/>
  <c r="R147" i="1"/>
  <c r="O147" i="1"/>
  <c r="M147" i="1"/>
  <c r="L147" i="1"/>
  <c r="J147" i="1"/>
  <c r="I147" i="1"/>
  <c r="H147" i="1"/>
  <c r="B147" i="1"/>
  <c r="A147" i="1"/>
  <c r="R146" i="1"/>
  <c r="O146" i="1"/>
  <c r="M146" i="1"/>
  <c r="L146" i="1"/>
  <c r="J146" i="1"/>
  <c r="I146" i="1"/>
  <c r="H146" i="1"/>
  <c r="B146" i="1"/>
  <c r="A146" i="1"/>
  <c r="R145" i="1"/>
  <c r="O145" i="1"/>
  <c r="M145" i="1"/>
  <c r="L145" i="1"/>
  <c r="J145" i="1"/>
  <c r="I145" i="1"/>
  <c r="H145" i="1"/>
  <c r="B145" i="1"/>
  <c r="A145" i="1"/>
  <c r="R144" i="1"/>
  <c r="O144" i="1"/>
  <c r="M144" i="1"/>
  <c r="L144" i="1"/>
  <c r="J144" i="1"/>
  <c r="I144" i="1"/>
  <c r="H144" i="1"/>
  <c r="B144" i="1"/>
  <c r="A144" i="1"/>
  <c r="R143" i="1"/>
  <c r="O143" i="1"/>
  <c r="M143" i="1"/>
  <c r="L143" i="1"/>
  <c r="J143" i="1"/>
  <c r="I143" i="1"/>
  <c r="H143" i="1"/>
  <c r="B143" i="1"/>
  <c r="A143" i="1"/>
  <c r="R142" i="1"/>
  <c r="O142" i="1"/>
  <c r="M142" i="1"/>
  <c r="L142" i="1"/>
  <c r="J142" i="1"/>
  <c r="I142" i="1"/>
  <c r="H142" i="1"/>
  <c r="B142" i="1"/>
  <c r="A142" i="1"/>
  <c r="R141" i="1"/>
  <c r="O141" i="1"/>
  <c r="M141" i="1"/>
  <c r="L141" i="1"/>
  <c r="J141" i="1"/>
  <c r="I141" i="1"/>
  <c r="H141" i="1"/>
  <c r="A141" i="1"/>
  <c r="R140" i="1"/>
  <c r="O140" i="1"/>
  <c r="M140" i="1"/>
  <c r="L140" i="1"/>
  <c r="J140" i="1"/>
  <c r="I140" i="1"/>
  <c r="H140" i="1"/>
  <c r="B140" i="1"/>
  <c r="A140" i="1"/>
  <c r="R139" i="1"/>
  <c r="O139" i="1"/>
  <c r="M139" i="1"/>
  <c r="L139" i="1"/>
  <c r="J139" i="1"/>
  <c r="I139" i="1"/>
  <c r="H139" i="1"/>
  <c r="B139" i="1"/>
  <c r="A139" i="1"/>
  <c r="R138" i="1"/>
  <c r="O138" i="1"/>
  <c r="M138" i="1"/>
  <c r="L138" i="1"/>
  <c r="J138" i="1"/>
  <c r="I138" i="1"/>
  <c r="H138" i="1"/>
  <c r="B138" i="1"/>
  <c r="A138" i="1"/>
  <c r="R137" i="1"/>
  <c r="O137" i="1"/>
  <c r="M137" i="1"/>
  <c r="L137" i="1"/>
  <c r="J137" i="1"/>
  <c r="I137" i="1"/>
  <c r="H137" i="1"/>
  <c r="B137" i="1"/>
  <c r="A137" i="1"/>
  <c r="R136" i="1"/>
  <c r="O136" i="1"/>
  <c r="M136" i="1"/>
  <c r="L136" i="1"/>
  <c r="J136" i="1"/>
  <c r="I136" i="1"/>
  <c r="H136" i="1"/>
  <c r="B136" i="1"/>
  <c r="A136" i="1"/>
  <c r="R135" i="1"/>
  <c r="O135" i="1"/>
  <c r="M135" i="1"/>
  <c r="L135" i="1"/>
  <c r="J135" i="1"/>
  <c r="I135" i="1"/>
  <c r="H135" i="1"/>
  <c r="B135" i="1"/>
  <c r="A135" i="1"/>
  <c r="R134" i="1"/>
  <c r="O134" i="1"/>
  <c r="M134" i="1"/>
  <c r="L134" i="1"/>
  <c r="J134" i="1"/>
  <c r="I134" i="1"/>
  <c r="H134" i="1"/>
  <c r="B134" i="1"/>
  <c r="A134" i="1"/>
  <c r="R133" i="1"/>
  <c r="O133" i="1"/>
  <c r="M133" i="1"/>
  <c r="L133" i="1"/>
  <c r="J133" i="1"/>
  <c r="I133" i="1"/>
  <c r="H133" i="1"/>
  <c r="B133" i="1"/>
  <c r="A133" i="1"/>
  <c r="R132" i="1"/>
  <c r="O132" i="1"/>
  <c r="M132" i="1"/>
  <c r="L132" i="1"/>
  <c r="J132" i="1"/>
  <c r="I132" i="1"/>
  <c r="H132" i="1"/>
  <c r="B132" i="1"/>
  <c r="A132" i="1"/>
  <c r="R131" i="1"/>
  <c r="O131" i="1"/>
  <c r="M131" i="1"/>
  <c r="L131" i="1"/>
  <c r="J131" i="1"/>
  <c r="I131" i="1"/>
  <c r="H131" i="1"/>
  <c r="B131" i="1"/>
  <c r="A131" i="1"/>
  <c r="R130" i="1"/>
  <c r="O130" i="1"/>
  <c r="M130" i="1"/>
  <c r="L130" i="1"/>
  <c r="J130" i="1"/>
  <c r="I130" i="1"/>
  <c r="H130" i="1"/>
  <c r="B130" i="1"/>
  <c r="A130" i="1"/>
  <c r="R129" i="1"/>
  <c r="O129" i="1"/>
  <c r="M129" i="1"/>
  <c r="L129" i="1"/>
  <c r="J129" i="1"/>
  <c r="I129" i="1"/>
  <c r="H129" i="1"/>
  <c r="B129" i="1"/>
  <c r="A129" i="1"/>
  <c r="R128" i="1"/>
  <c r="O128" i="1"/>
  <c r="M128" i="1"/>
  <c r="L128" i="1"/>
  <c r="J128" i="1"/>
  <c r="I128" i="1"/>
  <c r="H128" i="1"/>
  <c r="B128" i="1"/>
  <c r="A128" i="1"/>
  <c r="O127" i="1"/>
  <c r="M127" i="1"/>
  <c r="L127" i="1"/>
  <c r="J127" i="1"/>
  <c r="I127" i="1"/>
  <c r="H127" i="1"/>
  <c r="A127" i="1"/>
  <c r="R126" i="1"/>
  <c r="O126" i="1"/>
  <c r="M126" i="1"/>
  <c r="L126" i="1"/>
  <c r="J126" i="1"/>
  <c r="I126" i="1"/>
  <c r="H126" i="1"/>
  <c r="A126" i="1"/>
  <c r="R125" i="1"/>
  <c r="O125" i="1"/>
  <c r="M125" i="1"/>
  <c r="L125" i="1"/>
  <c r="J125" i="1"/>
  <c r="I125" i="1"/>
  <c r="H125" i="1"/>
  <c r="A125" i="1"/>
  <c r="R124" i="1"/>
  <c r="O124" i="1"/>
  <c r="M124" i="1"/>
  <c r="L124" i="1"/>
  <c r="J124" i="1"/>
  <c r="I124" i="1"/>
  <c r="H124" i="1"/>
  <c r="A124" i="1"/>
  <c r="R123" i="1"/>
  <c r="O123" i="1"/>
  <c r="M123" i="1"/>
  <c r="L123" i="1"/>
  <c r="J123" i="1"/>
  <c r="I123" i="1"/>
  <c r="H123" i="1"/>
  <c r="A123" i="1"/>
  <c r="R122" i="1"/>
  <c r="O122" i="1"/>
  <c r="M122" i="1"/>
  <c r="L122" i="1"/>
  <c r="J122" i="1"/>
  <c r="I122" i="1"/>
  <c r="H122" i="1"/>
  <c r="A122" i="1"/>
  <c r="R121" i="1"/>
  <c r="O121" i="1"/>
  <c r="M121" i="1"/>
  <c r="L121" i="1"/>
  <c r="J121" i="1"/>
  <c r="I121" i="1"/>
  <c r="H121" i="1"/>
  <c r="A121" i="1"/>
  <c r="R120" i="1"/>
  <c r="O120" i="1"/>
  <c r="M120" i="1"/>
  <c r="L120" i="1"/>
  <c r="J120" i="1"/>
  <c r="I120" i="1"/>
  <c r="H120" i="1"/>
  <c r="A120" i="1"/>
  <c r="R119" i="1"/>
  <c r="O119" i="1"/>
  <c r="M119" i="1"/>
  <c r="L119" i="1"/>
  <c r="J119" i="1"/>
  <c r="I119" i="1"/>
  <c r="H119" i="1"/>
  <c r="A119" i="1"/>
  <c r="R118" i="1"/>
  <c r="O118" i="1"/>
  <c r="M118" i="1"/>
  <c r="L118" i="1"/>
  <c r="J118" i="1"/>
  <c r="I118" i="1"/>
  <c r="H118" i="1"/>
  <c r="A118" i="1"/>
  <c r="R117" i="1"/>
  <c r="O117" i="1"/>
  <c r="M117" i="1"/>
  <c r="L117" i="1"/>
  <c r="J117" i="1"/>
  <c r="I117" i="1"/>
  <c r="H117" i="1"/>
  <c r="A117" i="1"/>
  <c r="R116" i="1"/>
  <c r="O116" i="1"/>
  <c r="M116" i="1"/>
  <c r="L116" i="1"/>
  <c r="J116" i="1"/>
  <c r="I116" i="1"/>
  <c r="H116" i="1"/>
  <c r="A116" i="1"/>
  <c r="R115" i="1"/>
  <c r="O115" i="1"/>
  <c r="M115" i="1"/>
  <c r="L115" i="1"/>
  <c r="J115" i="1"/>
  <c r="I115" i="1"/>
  <c r="H115" i="1"/>
  <c r="A115" i="1"/>
  <c r="R114" i="1"/>
  <c r="M114" i="1"/>
  <c r="L114" i="1"/>
  <c r="J114" i="1"/>
  <c r="I114" i="1"/>
  <c r="H114" i="1"/>
  <c r="A114" i="1"/>
  <c r="H112" i="1"/>
  <c r="H111" i="1"/>
  <c r="H110" i="1"/>
  <c r="H109" i="1"/>
  <c r="H108" i="1"/>
  <c r="H107" i="1"/>
  <c r="H106" i="1"/>
  <c r="G106" i="1"/>
  <c r="F106" i="1"/>
  <c r="H105" i="1"/>
  <c r="G105" i="1"/>
  <c r="F105" i="1"/>
  <c r="H104" i="1"/>
  <c r="G104" i="1"/>
  <c r="F104" i="1"/>
  <c r="H103" i="1"/>
  <c r="G103" i="1"/>
  <c r="F103" i="1"/>
  <c r="H102" i="1"/>
  <c r="G102" i="1"/>
  <c r="F102" i="1"/>
  <c r="H100" i="1"/>
  <c r="G100" i="1"/>
  <c r="F100" i="1"/>
  <c r="H99" i="1"/>
  <c r="G99" i="1"/>
  <c r="F99" i="1"/>
  <c r="H98" i="1"/>
  <c r="G98" i="1"/>
  <c r="F98" i="1"/>
  <c r="H97" i="1"/>
  <c r="G97" i="1"/>
  <c r="F97" i="1"/>
  <c r="H96" i="1"/>
  <c r="G96" i="1"/>
  <c r="F96" i="1"/>
  <c r="H95" i="1"/>
  <c r="G95" i="1"/>
  <c r="F95" i="1"/>
  <c r="H94" i="1"/>
  <c r="G94" i="1"/>
  <c r="F94" i="1"/>
  <c r="H93" i="1"/>
  <c r="G93" i="1"/>
  <c r="F93" i="1"/>
  <c r="H92" i="1"/>
  <c r="G92" i="1"/>
  <c r="F92" i="1"/>
  <c r="H91" i="1"/>
  <c r="G91" i="1"/>
  <c r="F91" i="1"/>
  <c r="H90" i="1"/>
  <c r="G90" i="1"/>
  <c r="F90" i="1"/>
  <c r="G89" i="1"/>
  <c r="F89" i="1"/>
  <c r="H88" i="1"/>
  <c r="G88" i="1"/>
  <c r="F88" i="1"/>
  <c r="H87" i="1"/>
  <c r="G87" i="1"/>
  <c r="F87" i="1"/>
  <c r="H86" i="1"/>
  <c r="G86" i="1"/>
  <c r="F86" i="1"/>
  <c r="H85" i="1"/>
  <c r="G85" i="1"/>
  <c r="F85" i="1"/>
  <c r="G83" i="1"/>
  <c r="F83" i="1"/>
  <c r="G82" i="1"/>
  <c r="F82" i="1"/>
  <c r="J81" i="1"/>
  <c r="I81" i="1"/>
  <c r="G81" i="1"/>
  <c r="F81" i="1"/>
  <c r="J80" i="1"/>
  <c r="I80" i="1"/>
  <c r="G80" i="1"/>
  <c r="F80" i="1"/>
  <c r="J79" i="1"/>
  <c r="I79" i="1"/>
  <c r="G79" i="1"/>
  <c r="F79" i="1"/>
  <c r="J78" i="1"/>
  <c r="I78" i="1"/>
  <c r="G78" i="1"/>
  <c r="F78" i="1"/>
  <c r="J77" i="1"/>
  <c r="I77" i="1"/>
  <c r="G77" i="1"/>
  <c r="F77" i="1"/>
  <c r="J76" i="1"/>
  <c r="I76" i="1"/>
  <c r="G76" i="1"/>
  <c r="F76" i="1"/>
  <c r="J75" i="1"/>
  <c r="I75" i="1"/>
  <c r="G75" i="1"/>
  <c r="F75" i="1"/>
  <c r="J74" i="1"/>
  <c r="I74" i="1"/>
  <c r="G74" i="1"/>
  <c r="F74" i="1"/>
  <c r="J73" i="1"/>
  <c r="I73" i="1"/>
  <c r="G73" i="1"/>
  <c r="F73" i="1"/>
  <c r="J72" i="1"/>
  <c r="I72" i="1"/>
  <c r="G72" i="1"/>
  <c r="F72" i="1"/>
  <c r="J71" i="1"/>
  <c r="I71" i="1"/>
  <c r="G71" i="1"/>
  <c r="F71" i="1"/>
  <c r="J70" i="1"/>
  <c r="I70" i="1"/>
  <c r="G70" i="1"/>
  <c r="F70" i="1"/>
  <c r="J69" i="1"/>
  <c r="I69" i="1"/>
  <c r="G69" i="1"/>
  <c r="F69" i="1"/>
  <c r="J68" i="1"/>
  <c r="I68" i="1"/>
  <c r="G68" i="1"/>
  <c r="F68" i="1"/>
  <c r="J67" i="1"/>
  <c r="I67" i="1"/>
  <c r="G67" i="1"/>
  <c r="F67" i="1"/>
  <c r="G66" i="1"/>
  <c r="F66" i="1"/>
  <c r="O65" i="1"/>
  <c r="G65" i="1"/>
  <c r="F65" i="1"/>
  <c r="O64" i="1"/>
  <c r="G64" i="1"/>
  <c r="F64" i="1"/>
  <c r="O63" i="1"/>
  <c r="G63" i="1"/>
  <c r="F63" i="1"/>
  <c r="O62" i="1"/>
  <c r="G62" i="1"/>
  <c r="F62" i="1"/>
  <c r="O61" i="1"/>
  <c r="G61" i="1"/>
  <c r="F61" i="1"/>
  <c r="O60" i="1"/>
  <c r="G60" i="1"/>
  <c r="F60" i="1"/>
  <c r="O59" i="1"/>
  <c r="G59" i="1"/>
  <c r="F59" i="1"/>
  <c r="O58" i="1"/>
  <c r="G58" i="1"/>
  <c r="F58" i="1"/>
  <c r="O57" i="1"/>
  <c r="G57" i="1"/>
  <c r="F57" i="1"/>
  <c r="O56" i="1"/>
  <c r="G56" i="1"/>
  <c r="F56" i="1"/>
  <c r="O55" i="1"/>
  <c r="G55" i="1"/>
  <c r="F55" i="1"/>
  <c r="G54" i="1"/>
  <c r="F54" i="1"/>
  <c r="O53" i="1"/>
  <c r="G53" i="1"/>
  <c r="F53" i="1"/>
  <c r="O52" i="1"/>
  <c r="G52" i="1"/>
  <c r="F52" i="1"/>
  <c r="O51" i="1"/>
  <c r="G51" i="1"/>
  <c r="F51" i="1"/>
  <c r="O50" i="1"/>
  <c r="G50" i="1"/>
  <c r="F50" i="1"/>
  <c r="O49" i="1"/>
  <c r="G49" i="1"/>
  <c r="F49" i="1"/>
  <c r="O48" i="1"/>
  <c r="G48" i="1"/>
  <c r="F48" i="1"/>
  <c r="O47" i="1"/>
  <c r="G47" i="1"/>
  <c r="F47" i="1"/>
  <c r="O46" i="1"/>
  <c r="G46" i="1"/>
  <c r="F46" i="1"/>
  <c r="O45" i="1"/>
  <c r="G45" i="1"/>
  <c r="F45" i="1"/>
  <c r="O44" i="1"/>
  <c r="G44" i="1"/>
  <c r="F44" i="1"/>
  <c r="O43" i="1"/>
  <c r="G43" i="1"/>
  <c r="F43" i="1"/>
  <c r="G42" i="1"/>
  <c r="F42" i="1"/>
  <c r="G41" i="1"/>
  <c r="F41" i="1"/>
  <c r="G40" i="1"/>
  <c r="F40" i="1"/>
  <c r="G39" i="1"/>
  <c r="F39" i="1"/>
  <c r="G38" i="1"/>
  <c r="F38" i="1"/>
  <c r="G37" i="1"/>
  <c r="F37" i="1"/>
  <c r="G36" i="1"/>
  <c r="F36" i="1"/>
  <c r="G35" i="1"/>
  <c r="F35" i="1"/>
  <c r="G34" i="1"/>
  <c r="F34" i="1"/>
  <c r="G33" i="1"/>
  <c r="F33" i="1"/>
  <c r="G32" i="1"/>
  <c r="F32" i="1"/>
  <c r="G31" i="1"/>
  <c r="F31" i="1"/>
  <c r="G30" i="1"/>
  <c r="F30" i="1"/>
  <c r="O29" i="1"/>
  <c r="G29" i="1"/>
  <c r="F29" i="1"/>
  <c r="O28" i="1"/>
  <c r="G28" i="1"/>
  <c r="F28" i="1"/>
  <c r="O27" i="1"/>
  <c r="G27" i="1"/>
  <c r="F27" i="1"/>
  <c r="O26" i="1"/>
  <c r="G26" i="1"/>
  <c r="F26" i="1"/>
  <c r="O25" i="1"/>
  <c r="G25" i="1"/>
  <c r="F25" i="1"/>
  <c r="O24" i="1"/>
  <c r="G24" i="1"/>
  <c r="F24" i="1"/>
  <c r="O23" i="1"/>
  <c r="G23" i="1"/>
  <c r="F23" i="1"/>
  <c r="O22" i="1"/>
  <c r="G22" i="1"/>
  <c r="F22" i="1"/>
  <c r="O21" i="1"/>
  <c r="G21" i="1"/>
  <c r="F21" i="1"/>
  <c r="O20" i="1"/>
  <c r="G20" i="1"/>
  <c r="F20" i="1"/>
  <c r="O19" i="1"/>
  <c r="G19" i="1"/>
  <c r="F19" i="1"/>
  <c r="O18" i="1"/>
  <c r="G18" i="1"/>
  <c r="F18" i="1"/>
  <c r="O17" i="1"/>
  <c r="G17" i="1"/>
  <c r="F17" i="1"/>
  <c r="O16" i="1"/>
  <c r="G16" i="1"/>
  <c r="F16" i="1"/>
  <c r="O15" i="1"/>
  <c r="G15" i="1"/>
  <c r="F15" i="1"/>
  <c r="O14" i="1"/>
  <c r="G14" i="1"/>
  <c r="F14" i="1"/>
  <c r="O13" i="1"/>
  <c r="G13" i="1"/>
  <c r="F13" i="1"/>
  <c r="O12" i="1"/>
  <c r="G12" i="1"/>
  <c r="F12" i="1"/>
  <c r="O11" i="1"/>
  <c r="G11" i="1"/>
  <c r="F11" i="1"/>
  <c r="O10" i="1"/>
  <c r="G10" i="1"/>
  <c r="F10" i="1"/>
  <c r="O9" i="1"/>
  <c r="G9" i="1"/>
  <c r="F9" i="1"/>
  <c r="O8" i="1"/>
  <c r="G8" i="1"/>
  <c r="F8" i="1"/>
  <c r="O7" i="1"/>
  <c r="G7" i="1"/>
  <c r="F7" i="1"/>
  <c r="O6" i="1"/>
  <c r="G6" i="1"/>
  <c r="F6" i="1"/>
  <c r="O5" i="1"/>
  <c r="G5" i="1"/>
  <c r="F5" i="1"/>
  <c r="O4" i="1"/>
  <c r="G4" i="1"/>
  <c r="F4" i="1"/>
  <c r="O3" i="1"/>
  <c r="G3" i="1"/>
  <c r="F3" i="1"/>
</calcChain>
</file>

<file path=xl/sharedStrings.xml><?xml version="1.0" encoding="utf-8"?>
<sst xmlns="http://schemas.openxmlformats.org/spreadsheetml/2006/main" count="8851" uniqueCount="341">
  <si>
    <t>文献自编号</t>
  </si>
  <si>
    <t>实验序号</t>
  </si>
  <si>
    <t>污染物</t>
  </si>
  <si>
    <t>正辛醇-水分配系数</t>
  </si>
  <si>
    <t>水溶解度</t>
  </si>
  <si>
    <t>沸点(℃)</t>
  </si>
  <si>
    <t>熔点(℃)</t>
  </si>
  <si>
    <t>土壤类型</t>
  </si>
  <si>
    <t>总磷含量(mg/kg)</t>
  </si>
  <si>
    <t>总氮含量(mg/kg)</t>
  </si>
  <si>
    <t>电导率(mS/cm)</t>
  </si>
  <si>
    <t>有机质含量(g/kg)</t>
  </si>
  <si>
    <t>pH</t>
  </si>
  <si>
    <t>碳环数</t>
  </si>
  <si>
    <t>含水率(%)</t>
  </si>
  <si>
    <t>初始浓度(mg/kg)</t>
  </si>
  <si>
    <t>修复温度(℃)</t>
  </si>
  <si>
    <t>修复时间(d)</t>
  </si>
  <si>
    <t>降解率</t>
  </si>
  <si>
    <t>PAHs</t>
  </si>
  <si>
    <t>壤土</t>
  </si>
  <si>
    <t>2环-6环</t>
  </si>
  <si>
    <t/>
  </si>
  <si>
    <t>3环-6环</t>
  </si>
  <si>
    <t>砂土</t>
  </si>
  <si>
    <t>2环-4环</t>
  </si>
  <si>
    <t>萘</t>
  </si>
  <si>
    <t>2环</t>
  </si>
  <si>
    <t>菲</t>
  </si>
  <si>
    <t>3环</t>
  </si>
  <si>
    <t>蒽</t>
  </si>
  <si>
    <t>荧蒽</t>
  </si>
  <si>
    <t>4环</t>
  </si>
  <si>
    <t>䓛</t>
  </si>
  <si>
    <t>芴</t>
  </si>
  <si>
    <t>芘</t>
  </si>
  <si>
    <t>苯并[a]蒽</t>
  </si>
  <si>
    <t>苯并[b]荧蒽</t>
  </si>
  <si>
    <t>5环</t>
  </si>
  <si>
    <t>苯并[k]荧蒽</t>
  </si>
  <si>
    <t>苯并[a]芘</t>
  </si>
  <si>
    <t>二苯并［a,h］蒽</t>
  </si>
  <si>
    <t>苯并[ghi]苝</t>
  </si>
  <si>
    <t>6环</t>
  </si>
  <si>
    <t>茚并[1,2,3-cd]芘</t>
  </si>
  <si>
    <t>3环-4环</t>
  </si>
  <si>
    <t>2 - 溴萘</t>
  </si>
  <si>
    <t>苊（二氢苊）</t>
  </si>
  <si>
    <t>黏土</t>
  </si>
  <si>
    <t>PAHs（二环）</t>
  </si>
  <si>
    <t>PAHs（三环）</t>
  </si>
  <si>
    <t>PAHs（四环）</t>
  </si>
  <si>
    <t>PAHs（五环及以上）</t>
  </si>
  <si>
    <t>5环-6环</t>
  </si>
  <si>
    <t>PAHs(低环)</t>
  </si>
  <si>
    <t>2环-3环</t>
  </si>
  <si>
    <t>PAHs(中环)</t>
  </si>
  <si>
    <t>4环-5环</t>
  </si>
  <si>
    <t>PAHs(高环)</t>
  </si>
  <si>
    <r>
      <rPr>
        <sz val="11"/>
        <color theme="1"/>
        <rFont val="宋体"/>
        <charset val="134"/>
        <scheme val="minor"/>
      </rPr>
      <t>2环-</t>
    </r>
    <r>
      <rPr>
        <sz val="11"/>
        <color theme="1"/>
        <rFont val="宋体"/>
        <charset val="134"/>
        <scheme val="minor"/>
      </rPr>
      <t>6</t>
    </r>
    <r>
      <rPr>
        <sz val="11"/>
        <color theme="1"/>
        <rFont val="宋体"/>
        <charset val="134"/>
        <scheme val="minor"/>
      </rPr>
      <t>环</t>
    </r>
  </si>
  <si>
    <t>1-甲基菲</t>
  </si>
  <si>
    <t>文献名称</t>
  </si>
  <si>
    <t>文献译名</t>
  </si>
  <si>
    <t>文献出版物</t>
  </si>
  <si>
    <t>作者</t>
  </si>
  <si>
    <t>期(年）:页码</t>
  </si>
  <si>
    <t>关键词</t>
  </si>
  <si>
    <t>DOI</t>
  </si>
  <si>
    <t>生物泥浆修复过程中微生物对多环芳烃降解效果影响研究</t>
  </si>
  <si>
    <t>工程科技Ⅰ辑</t>
  </si>
  <si>
    <t>王富加</t>
  </si>
  <si>
    <t>2025，03（25） </t>
  </si>
  <si>
    <t>多环芳烃;生物泥浆修复;菌剂;影响因素;微生物测序;</t>
  </si>
  <si>
    <t>10.27278/d.cnki.gsdqc.2024.000904</t>
  </si>
  <si>
    <t>Design and field-scale implementation of an “on site” bioremediation treatment in PAH-polluted soil</t>
  </si>
  <si>
    <t>对多环芳烃污染的土壤实施“现场”生物修复处理的设计及大规模应用</t>
  </si>
  <si>
    <t>Environmental Pollution</t>
  </si>
  <si>
    <t>A.I. Pelaez</t>
  </si>
  <si>
    <t>181(13):190-199</t>
  </si>
  <si>
    <t>PAHsNaphthaleneBioremediationBiostimulationMicroorganisms</t>
  </si>
  <si>
    <t>10.1016/j.envpol.2013.06.004</t>
  </si>
  <si>
    <t>Bioremediation of PAH-contaminated farmland: field experiment</t>
  </si>
  <si>
    <t>生物修复被多环芳烃污染的农田：田间试验</t>
  </si>
  <si>
    <t>Environmental Science and Pollution Research</t>
  </si>
  <si>
    <t>Chen Yang</t>
  </si>
  <si>
    <t>25（18）：64-72</t>
  </si>
  <si>
    <t>Soil . Biological remediation . Polycyclic aromatic hydrocarbons . Dehydrogenase . Microbial diversity</t>
  </si>
  <si>
    <t>10.1007/s11356-016-7906-4</t>
  </si>
  <si>
    <t>In-vessel composting–bioremediation of aged coal tar soil: effect of temperature and soil/green waste amendment ratio</t>
  </si>
  <si>
    <t>在堆肥反应器中对老化煤焦油土壤进行生物修复：温度和土壤/绿色废物改良剂比例的影响</t>
  </si>
  <si>
    <t>Environment International</t>
  </si>
  <si>
    <t>B. Antízar-Ladislao</t>
  </si>
  <si>
    <t>31(05):173-178</t>
  </si>
  <si>
    <t>BioremediationIn-vessel compostingPolycyclic aromatic hydrocarbonsTemperature</t>
  </si>
  <si>
    <t>10.1016/j.envint.2004.09.012</t>
  </si>
  <si>
    <t>Development of an Autochthonous Microbial Consortium for Enhanced Bioremediation of PAH-Contaminated Soil</t>
  </si>
  <si>
    <t>开发一种本土微生物群落来增强被多环芳烃污染土壤的生物修复效果</t>
  </si>
  <si>
    <t>International Journal of Molecular Sciences</t>
  </si>
  <si>
    <t>Marta Roszak</t>
  </si>
  <si>
    <t>2021，22（24）</t>
  </si>
  <si>
    <t>applied microbiology; autochthonic microorganisms; bioremediation; polycyclic aromatic hydrocarbons; soil pollution</t>
  </si>
  <si>
    <t>10.3390/ijms222413469</t>
  </si>
  <si>
    <t>Bioremediation of polycyclic aromatic hydrocarbons contaminated soil with Monilinia sp.: degradation and microbial community analysis</t>
  </si>
  <si>
    <t>生物（灰霉菌）修复被多环芳烃污染的土壤：降解和分析微生物群落</t>
  </si>
  <si>
    <t>Biodegradation</t>
  </si>
  <si>
    <t>Yongming Luo</t>
  </si>
  <si>
    <t>19（08）：247-257</t>
  </si>
  <si>
    <t>Bioaugmentation.Biostimulation.Fungal remediation.Microbial community.PAHs.Soil</t>
  </si>
  <si>
    <t>10.1007/s10532-007-9131-9</t>
  </si>
  <si>
    <t>Construction of PAH-degrading mixed microbial consortia by induced selection in soil</t>
  </si>
  <si>
    <t>对土壤进行诱导选择来构建降解多环芳烃的混合物生物群落</t>
  </si>
  <si>
    <t>Chemosphere</t>
  </si>
  <si>
    <t>Diana V. Cortés-Espinosa</t>
  </si>
  <si>
    <t>172(17):120-126</t>
  </si>
  <si>
    <t>Polycyclic aromatic hydrocarbons (PAHs)Mixed degrading consortiaSoil bioremediationMicrobial antagonismBioaugmentation</t>
  </si>
  <si>
    <t>10.1016/j.chemophere.2016.12.038</t>
  </si>
  <si>
    <t>Fungal degradation of polycyclic aromatic hydrocarbons (PAHs) by Scopulariopsis brevicaulis and its application in bioremediation of PAH-contaminated soil</t>
  </si>
  <si>
    <t>短柄镰孢菌对多环芳烃的生物降解作用及其在生物修复被多环芳烃污染的土壤中的应用</t>
  </si>
  <si>
    <t>Acta Agriculturae Scandinavica, Section B — Soil &amp; Plant Science</t>
  </si>
  <si>
    <t>Jian Mao</t>
  </si>
  <si>
    <t>66(16):399-405</t>
  </si>
  <si>
    <t>Biodegradation.bioremediation.polycyclic aromatic hydrocarbons.soil.fungal</t>
  </si>
  <si>
    <t>10.1080/09064710.2015.1137629</t>
  </si>
  <si>
    <t>Evaluation of drum bioreactor performance used for decontamination of soil polluted with polycyclic aromatic hydrocarbons</t>
  </si>
  <si>
    <t>处理被多环芳烃污染的土壤的鼓式生物反应器性能评估</t>
  </si>
  <si>
    <t>Journal of Chemical Technology and Biotechnology</t>
  </si>
  <si>
    <t>Jong Moon Park</t>
  </si>
  <si>
    <t>74:937-944 (1999)</t>
  </si>
  <si>
    <t>bioremediation; drum bioreactor; PAH; two soil phases; water content</t>
  </si>
  <si>
    <t>10.1002/(SICI)1097-4660(199910)74:10＜937</t>
  </si>
  <si>
    <t>Enhancement of bioconversion of high-molecular mass polycyclic aromatic hydrocarbons in contaminated non-sterile soil by litter-decomposing fungi</t>
  </si>
  <si>
    <t>用分解枯枝落叶的真菌来促进被污染的有菌落的土壤中高分子量多环芳烃的生物转化</t>
  </si>
  <si>
    <t>Kari T. Steffen</t>
  </si>
  <si>
    <t>(2007) 18:359–369</t>
  </si>
  <si>
    <t>Agrocybe.Biodegradation.Litter decomposing fungi.Polycyclic aromatic hydrocarbons.Soil bioremediation.Stropharia</t>
  </si>
  <si>
    <t>10.1007/s10532-006-9070-x</t>
  </si>
  <si>
    <t>Soil micropollutants after using methods supporting the bioremediation process</t>
  </si>
  <si>
    <t>采用辅助性的生物修复过程的方法后土壤中的微污染物的情况</t>
  </si>
  <si>
    <t>Desalination and Water Treatment</t>
  </si>
  <si>
    <t>Anna Piotrowska</t>
  </si>
  <si>
    <t>321(25)</t>
  </si>
  <si>
    <t>BioremediationVermicompostingPhytoremediationPolycyclic Aromatic HydrocarbonsEffective Microorganisms</t>
  </si>
  <si>
    <t>10.1016/j.dwt.2024.100963</t>
  </si>
  <si>
    <t>Effects of humic substances and soya lecithin on the aerobic bioremediation of a soil historically contaminated by polycyclic aromatic hydrocarbons (PAHs)</t>
  </si>
  <si>
    <t>腐殖质和大豆卵磷脂对历来受多环芳烃污染的土壤中好氧生物修复的影响</t>
  </si>
  <si>
    <t>Biotechnology and Bioengineering</t>
  </si>
  <si>
    <t>Fabio Fava</t>
  </si>
  <si>
    <t>88(04):135-260</t>
  </si>
  <si>
    <t>humic substances; soya lecithin; polycy-clic aromatic hydrocarbons; PAHs; contaminated soils;bioremediation</t>
  </si>
  <si>
    <t xml:space="preserve"> 10.1002/bit.20225</t>
  </si>
  <si>
    <t>Soil bioremediation by Pseudomonas brassicacearum MPDS and its enzyme involved in degrading PAHs</t>
  </si>
  <si>
    <t>用油菜假单胞菌MPDS来进行土壤生物修复以及其参与降解多环芳烃的酶</t>
  </si>
  <si>
    <t>Science of The Total Environment</t>
  </si>
  <si>
    <t>Hongzhi Tang</t>
  </si>
  <si>
    <t>813(22)</t>
  </si>
  <si>
    <t>Soil remediation;2-Bromonaphthalene;Heterocyclic aromatic compounds;Naphthalene dioxygenase;Substrate specificity</t>
  </si>
  <si>
    <t>10.1016/j.scitotenv.2021.152522</t>
  </si>
  <si>
    <t>Bioremediation of polycyclic aromatic hydrocarbons (acenaphthene, anthracene, fluoranthene, fluorene) by Aspergillus niger HQ170509.1 fungus</t>
  </si>
  <si>
    <t>用黑曲霉菌HQ170509.1菌株对多环芳烃（苊、蒽、荧蒽、芴）进行生物修复</t>
  </si>
  <si>
    <t>International Journal of Environmental Science and Technology</t>
  </si>
  <si>
    <t>B. K. Manjunatha</t>
  </si>
  <si>
    <t>22(25);12567-12582</t>
  </si>
  <si>
    <t>Acenaphthene.Anthracene.Aspergillus niger HQ170509.1.Bioremediation.Fluorene.Polycyclic aromatic hydrocarbons (PAHs)</t>
  </si>
  <si>
    <t>10.1007/s13762-025-06370-z</t>
  </si>
  <si>
    <t>Simultaneous biodegradation of polycyclic aromatic hydrocarbons and phthalates by bacterial consortium and its bioremediation for complex polluted soil and sewage sludge</t>
  </si>
  <si>
    <t>细菌群落对多环芳烃和邻苯二甲酸盐的同步降解及其在复杂污染土壤和污水污泥中的生物修复作用</t>
  </si>
  <si>
    <t>Bioresource Technology</t>
  </si>
  <si>
    <t>Quan-Ying Cai</t>
  </si>
  <si>
    <t>408(24)</t>
  </si>
  <si>
    <t>Organic pollutant;Simultaneous degradation;Co-metabolism;Synthetic consortium;Remediation;Bacterial community</t>
  </si>
  <si>
    <t>10.1016/j.biortech.2024.131161</t>
  </si>
  <si>
    <t>Effect of Co-culture and Nutrients Supplementation on Bioremediation of Crude Petroleum Sludge</t>
  </si>
  <si>
    <t>共培养和营养物质的补充对原油污泥生物修复的影响</t>
  </si>
  <si>
    <t>Clean(Soil Air Water)</t>
  </si>
  <si>
    <t>Srinivasula Reddy Venkata Mohan</t>
  </si>
  <si>
    <t>39(11):900-907</t>
  </si>
  <si>
    <t>Anaerobic; Bioaugmentation; Biostimulation; Polycyclic aromatic hydrocarbons (PAHs);Total petroleum hy</t>
  </si>
  <si>
    <t>10.1002/clen.201000588</t>
  </si>
  <si>
    <t>lA multiple PAHs-degrading Shinella sp. strain and its potential bioremediation in wastewater</t>
  </si>
  <si>
    <t>一种能降解多种多环芳烃的申氏菌菌属及其在废水中的潜在生物修复作用</t>
  </si>
  <si>
    <t>879（23）</t>
  </si>
  <si>
    <t>Polycyclic aromatic hydrocarbons;Shinella;Degradation;Co-metabolism;Bioremediation</t>
  </si>
  <si>
    <t>10.1016/j.scitotenv.2023.162974</t>
  </si>
  <si>
    <t>Rhamnolipid-enhanced solubilization and biodegradation of PAHs in soils after conventional bioremediation</t>
  </si>
  <si>
    <t>常规生物修复后，利用溶菌脂质增强多环芳烃在土壤中的溶解度及生物降解性</t>
  </si>
  <si>
    <t>José-Julio Ortega-Calvo</t>
  </si>
  <si>
    <t>668（19）：790-796</t>
  </si>
  <si>
    <t>Biodegradation;Polycyclic aromatic hydrocarbons;Biosurfactants;Bioremediation</t>
  </si>
  <si>
    <t>10.1016/j.scitotenv.2019.03.056</t>
  </si>
  <si>
    <t>细菌与真菌共培养强化复合多环芳烃污染土壤降解</t>
  </si>
  <si>
    <t>刘洲同</t>
  </si>
  <si>
    <t>2025，09（25）</t>
  </si>
  <si>
    <t>细菌；真菌；共培养；多环芳烃；微生物修复</t>
  </si>
  <si>
    <t>11.2129.TE.20250902.1448.002</t>
  </si>
  <si>
    <t>纸质废料对多环芳烃污染土壤的强化修复作用</t>
  </si>
  <si>
    <t>李其港</t>
  </si>
  <si>
    <t>2025，02（25）</t>
  </si>
  <si>
    <t>多环芳烃；纸质碎料；真菌；细菌；同位素示踪</t>
  </si>
  <si>
    <t>10.13758/j.cnki.tr.2025.02.013</t>
  </si>
  <si>
    <t>生物炭负载植物促生菌对土壤中多环芳烃污染修复研究</t>
  </si>
  <si>
    <t>方浩</t>
  </si>
  <si>
    <t>2025，05（25）</t>
  </si>
  <si>
    <t>多环芳烃；生物炭；微生物固定化；土壤修复；协同效应；</t>
  </si>
  <si>
    <t>10.27018/d.cnki.gfjnu.2025.000317</t>
  </si>
  <si>
    <t>固定化菌剂对多环芳烃污染土壤的“固碳消污”作用</t>
  </si>
  <si>
    <t>2025，11（25）</t>
  </si>
  <si>
    <t>多环芳烃；固碳；固定化菌剂；氨氧化古菌；有机碳</t>
  </si>
  <si>
    <t>10.11654/jaes.2025-0961</t>
  </si>
  <si>
    <t>微生物-植物联合修复技术在多环芳烃污染土壤治理中的应用</t>
  </si>
  <si>
    <t>费小通</t>
  </si>
  <si>
    <t>2024，12（24）</t>
  </si>
  <si>
    <t>多环芳烃（PAHs）；污染土壤；微生物修复；植物修复</t>
  </si>
  <si>
    <t>10.3969/j.issn.1008-9500.2024.12.011</t>
  </si>
  <si>
    <t>长期污染土壤中多环芳烃的生物修复及其在团聚体中的变化</t>
  </si>
  <si>
    <t>胡思仪</t>
  </si>
  <si>
    <t>多环芳烃; 粒径组分; 蚯蚓; 生物有效性</t>
  </si>
  <si>
    <t>10. 19687/ j. cnki. 1673－7105. 2024. 04. 008．</t>
  </si>
  <si>
    <t>生物表面活性剂强化黑麦草—土著微生物修复多环芳烃污染土壤的效果及机制研究</t>
  </si>
  <si>
    <t>史鑫成</t>
  </si>
  <si>
    <t>多环芳烃，生物表面活性剂，土壤修复，植物-微生物联合修复</t>
  </si>
  <si>
    <t>10.27748/d.cnki.gszkj.2022.000648</t>
  </si>
  <si>
    <t>Bioremediation of polycyclic aromatic hydrocarbon-contaminated soil by a bacterial consortium and associated microbial community changes</t>
  </si>
  <si>
    <t>通过细菌群落对多环芳烃污染的土壤进行生物修复以及研究相关微生物群落的变化</t>
  </si>
  <si>
    <t>International Biodeterioration &amp; Biodegradation</t>
  </si>
  <si>
    <t>70（12）：141-147</t>
  </si>
  <si>
    <t>Bioremediation；Biodegradation；PAHs；HMW；Bacterial consortium；PCR–DGGE；Soil</t>
  </si>
  <si>
    <t>10.1016/j.ibiod.2012.03.002</t>
  </si>
  <si>
    <t>Bioremediation of polycyclic aromatic hydrocarbons (PAHs)-contaminated sewage sludge by different composting processes</t>
  </si>
  <si>
    <t>通过不同的堆肥工艺对含多环芳烃（PAHs）的污水污泥进行生物修复</t>
  </si>
  <si>
    <t>Journal of Hazardous Materials</t>
  </si>
  <si>
    <t>Quanying Cai</t>
  </si>
  <si>
    <t>142（07）：535-542</t>
  </si>
  <si>
    <t>Polycyclic aromatic hydrocarbons；Bioremediation；Composting；Sewage sludge；Rice straw</t>
  </si>
  <si>
    <t>10.1016/j.jhazmat.2006.08.062</t>
  </si>
  <si>
    <t>Marine-derived filamentous fungi and their potential application for polycyclic aromatic hydrocarbon bioremediation</t>
  </si>
  <si>
    <t>来自海洋的丝状真菌在多环芳烃生物修复中的潜在应用</t>
  </si>
  <si>
    <t>Marine Pollution Bulletin</t>
  </si>
  <si>
    <t>Michel Rodrigo Zambrano Passarini</t>
  </si>
  <si>
    <t>62（11）：364-370</t>
  </si>
  <si>
    <t>Pyrene；Benzo[a]pyrene；Pyrenylsulfate；Benzo[a]pyrenylsulfate；Marine-derived fungi；Biodegradation</t>
  </si>
  <si>
    <t>10.1016/j.marpolbul.2010.10.003</t>
  </si>
  <si>
    <t>Performance of Simulated Bioremediation in Real Samples of Soils Contaminated with PAHs</t>
  </si>
  <si>
    <t>在被多环芳烃污染的真实土壤样本中模拟生物修复的效果</t>
  </si>
  <si>
    <t>Water,Air,&amp;Soil Pollution</t>
  </si>
  <si>
    <t>Roberta de Souza Pohren</t>
  </si>
  <si>
    <t>227(16):</t>
  </si>
  <si>
    <t>Biodegradation . Inoculum . Autochthonous,microorganisms,Enrichment,Respirometry</t>
  </si>
  <si>
    <t>10.1007/s11270-016-2939-3</t>
  </si>
  <si>
    <t>Research on the influence of anaerobic stabilization of various dairy sewage sludge on biodegradation of polycyclic aromatic hydrocarbons PAHs with the use of effective microorganisms</t>
  </si>
  <si>
    <t>利用有效微生物，通过厌氧稳定化处理促进乳品污泥中多环芳烃（PAHs)的生物降解</t>
  </si>
  <si>
    <t>Environmental Research</t>
  </si>
  <si>
    <t>Dariusz Boruszko</t>
  </si>
  <si>
    <t>155(17):344-352</t>
  </si>
  <si>
    <t>Polycyclic aromatic hydrocarbons;Dairy sewage sludge;Effective microorganisms bacteria</t>
  </si>
  <si>
    <t>10.1016/j.envres.2017.02.019</t>
  </si>
  <si>
    <t>Study on the efficiency of phytoremediation of soils heavily polluted with PAHs in petroleum-contaminated sites by microorganism</t>
  </si>
  <si>
    <t>微生物强化植物修复对石油污染场地中被多环芳烃重度污染的土壤的修复效能研究</t>
  </si>
  <si>
    <t>Environmental and Pollution Research</t>
  </si>
  <si>
    <t>Liqun Hou</t>
  </si>
  <si>
    <t>26(19):31401-31413</t>
  </si>
  <si>
    <t>Oil field . Bioremediation . PAH-contaminated soil . Heavy pollution . Enhanced remediation . Enzymatic activity</t>
  </si>
  <si>
    <t>10.1007/s11356-019-05828-1</t>
  </si>
  <si>
    <t>PAHs biodegradation in intertidal surface sediment by indigenous microorganisms</t>
  </si>
  <si>
    <t>土著微生物对潮间带表层沉积物中多环芳烃的生物降解</t>
  </si>
  <si>
    <t>Lixin Jiao</t>
  </si>
  <si>
    <t>21（14）：6463-6471</t>
  </si>
  <si>
    <t>Bohai Bay . Intertidalsediment . PAHs . Indigenous microorganisms . Biodegradation . Humic coverage index</t>
  </si>
  <si>
    <t>10.1007/s11356-013-2480-5</t>
  </si>
  <si>
    <t>Degradation of a mixture of 13 polycyclic aromatic hydrocarbons by commercial effective microorganisms</t>
  </si>
  <si>
    <t>商业有效微生物对13种多环芳烃混合物的降解作用</t>
  </si>
  <si>
    <t>Open Life Sciences</t>
  </si>
  <si>
    <t>Paulina Książek-Trela</t>
  </si>
  <si>
    <t>19(24):</t>
  </si>
  <si>
    <t>polycyclic aromatic hydrocarbons, eﬀective microorganisms,bioremediation, biodegradation, mixed chemicals</t>
  </si>
  <si>
    <t>10.1515/biol-2022-0831</t>
  </si>
  <si>
    <t>Effects of different agricultural wastes on the dissipation of PAHs and the PAH-degrading genes in a PAH-contaminated soil</t>
  </si>
  <si>
    <t>不同农业废弃物对含多环芳烃污染土壤中多环芳烃降解及多环芳烃降解基因释放的影响</t>
  </si>
  <si>
    <t>Xuemei Han</t>
  </si>
  <si>
    <t>172(17):286-293</t>
  </si>
  <si>
    <t>Polycyclic aromatic hydrocarbon;Agricultural waste;Bioremediationq;PCRPAH-degrading gene;T-RFLP</t>
  </si>
  <si>
    <t>10.1016/j.chemophere.2017.01.012</t>
  </si>
  <si>
    <t>Synergistic interaction between nitrifying bacteria and Enterobacter ludwigii enhances PAHs biodegradation in coal mine dump soils</t>
  </si>
  <si>
    <t>硝化细菌和路易氏肠杆菌之间的协同作用能够增强煤矿废料土壤中多环芳烃的生物降解作用</t>
  </si>
  <si>
    <t>Journal of Environmental Management</t>
  </si>
  <si>
    <t>Elizaveta P. Pulikova</t>
  </si>
  <si>
    <t>394（25）</t>
  </si>
  <si>
    <t>Pyrene；Phenanthrene；Enrichment culture；Nitrification；Denitrification；Nitrate</t>
  </si>
  <si>
    <t>10.1016/j.jenvman.2025.127601</t>
  </si>
  <si>
    <t>生物炭固定化微生物-苜蓿联合修复高环PAHs污染土壤研究</t>
  </si>
  <si>
    <t>河北农业大学</t>
  </si>
  <si>
    <t>刘月涵</t>
  </si>
  <si>
    <t>高环PAHs污染土壤;生物炭;芽孢杆菌;根瘤菌;苜蓿;</t>
  </si>
  <si>
    <t>10.27109/d.cnki.ghbnu.2021.000741</t>
  </si>
  <si>
    <t>多环芳烃降解菌剂的制备及其在污染土壤中的应用研究</t>
  </si>
  <si>
    <t>山西农业大学</t>
  </si>
  <si>
    <t>闫双堆</t>
  </si>
  <si>
    <t>多环芳烃;降解菌菌剂;微生物修复;污染农田;</t>
  </si>
  <si>
    <t>10.27285/d.cnki.gsxnu.2022.000504</t>
  </si>
  <si>
    <t>多环芳烃污染场地的微生物修复技术应用与优化</t>
  </si>
  <si>
    <t>华中农业大学</t>
  </si>
  <si>
    <t>孙文佳</t>
  </si>
  <si>
    <t>多环芳烃;场地污染;微生物修复;强化措施;降解菌;苯并[a]芘;</t>
  </si>
  <si>
    <t>10.27158/d.cnki.ghznu.2022.000349</t>
  </si>
  <si>
    <t>酒糟固定化微生物对PAHs污染土壤的修复作用</t>
  </si>
  <si>
    <t>中国矿业大学</t>
  </si>
  <si>
    <t>于金标</t>
  </si>
  <si>
    <t>多环芳烃;微生物修复;酒糟;固定化;</t>
  </si>
  <si>
    <t>10.27623/d.cnki.gzkyu.2023.003127</t>
  </si>
  <si>
    <t>一株苯并（a）芘高效降解菌的分离筛选及降解特性研究</t>
  </si>
  <si>
    <t>山西农业大学学报（自然科学版）</t>
  </si>
  <si>
    <t xml:space="preserve">卢晋晶，王娟，张龙艳，曹建鹏，李建华，郜春花，杨治平，李生平，马妍 </t>
  </si>
  <si>
    <t>2025,10</t>
  </si>
  <si>
    <t>苯并(a)芘;降解菌;降解特性;微生物降解;</t>
  </si>
  <si>
    <t xml:space="preserve"> 10.13842/j.cnki.issn1671-8151.202508037</t>
  </si>
  <si>
    <t>农业环境科学学报</t>
  </si>
  <si>
    <t xml:space="preserve">刘翔宇，王萌瑶，张友爱，高彦征 </t>
  </si>
  <si>
    <t>多环芳烃污染潮间带生物修复及群落解析</t>
  </si>
  <si>
    <t>大连理工大学</t>
  </si>
  <si>
    <t>赵博</t>
  </si>
  <si>
    <t>多环芳烃；菌群构建；潮间带沉积物；生物强化；微生物群落</t>
  </si>
  <si>
    <t>10.26991/d.cnki.gdllu.2024.003951.</t>
  </si>
  <si>
    <t>Oil-Contaminated Soil Remediation with Biodegradation by Autochthonous Microorganisms and Phytoremediation by Maize (Zea mays)</t>
  </si>
  <si>
    <t>通过本土微生物进行生物降解的油污染土壤修复和玉米植物修复</t>
  </si>
  <si>
    <t>molecule</t>
  </si>
  <si>
    <t>Katarzyna Wojtowicz *
, Teresa Steliga
, Piotr Kapusta
and Joanna Brzeszcz</t>
  </si>
  <si>
    <t>2023,28（16）</t>
  </si>
  <si>
    <t>biodegradation; biopreparation; ecotoxicology; microorganisms; petroleum contaminants; phytoremediation; γ-PGA-polyglutamic acid</t>
  </si>
  <si>
    <t>10.3390/molecules28166104</t>
  </si>
  <si>
    <t>堆肥法生物修复PAH污染土壤</t>
  </si>
  <si>
    <t>西南大学</t>
  </si>
  <si>
    <t>方云</t>
  </si>
  <si>
    <t xml:space="preserve">
PAHs，污染土壤，生物修复，堆肥，猪粪，表面活性剂</t>
  </si>
  <si>
    <t>鞘氨醇菌MP9-4对土壤中菲和1-甲基菲 的生物强化降解研究</t>
  </si>
  <si>
    <t>广东工业大学</t>
  </si>
  <si>
    <t>陈佳莹</t>
  </si>
  <si>
    <t>鞘氨醇菌；菲；1-甲基菲；玉米秸秆生物炭固定化菌；微生物群落</t>
  </si>
  <si>
    <t>10.27029/d.cnki.ggdgu.2025.002030.</t>
  </si>
  <si>
    <t>基于泥浆体系的多环芳烃污染土壤微生物修复研究</t>
  </si>
  <si>
    <t>南京农业大学</t>
  </si>
  <si>
    <t>刘一凡</t>
  </si>
  <si>
    <t>多环芳烃 （ＰＡＨｓ）;泥浆体系;混合微生物;老化;重金属;降解途径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</si>
</sst>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name val="宋体"/>
      <charset val="134"/>
      <scheme val="minor"/>
    </font>
    <font>
      <sz val="9"/>
      <name val="宋体"/>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87"/>
  <sheetViews>
    <sheetView workbookViewId="0">
      <pane ySplit="1" topLeftCell="A1557" activePane="bottomLeft" state="frozen"/>
      <selection pane="bottomLeft" activeCell="C1" sqref="C1"/>
    </sheetView>
  </sheetViews>
  <sheetFormatPr defaultColWidth="9" defaultRowHeight="14.4" x14ac:dyDescent="0.25"/>
  <cols>
    <col min="6" max="13" width="9" customWidth="1"/>
    <col min="19" max="19" width="14.109375"/>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v>1001</v>
      </c>
      <c r="B2">
        <v>1</v>
      </c>
      <c r="C2" t="s">
        <v>19</v>
      </c>
      <c r="D2">
        <v>4.95</v>
      </c>
      <c r="E2">
        <v>31.7</v>
      </c>
      <c r="F2">
        <v>170</v>
      </c>
      <c r="G2">
        <v>387.6</v>
      </c>
      <c r="H2" t="s">
        <v>20</v>
      </c>
      <c r="I2">
        <v>550</v>
      </c>
      <c r="J2">
        <v>490</v>
      </c>
      <c r="K2">
        <v>0.13200000000000001</v>
      </c>
      <c r="L2">
        <v>35.299999999999997</v>
      </c>
      <c r="M2">
        <v>8.83</v>
      </c>
      <c r="N2" t="s">
        <v>21</v>
      </c>
      <c r="O2">
        <v>300</v>
      </c>
      <c r="P2">
        <v>40.54</v>
      </c>
      <c r="Q2">
        <v>30</v>
      </c>
      <c r="R2">
        <v>1</v>
      </c>
      <c r="S2">
        <v>8.4114454859398002E-2</v>
      </c>
    </row>
    <row r="3" spans="1:19" x14ac:dyDescent="0.25">
      <c r="A3">
        <v>1001</v>
      </c>
      <c r="B3">
        <v>1</v>
      </c>
      <c r="C3" t="s">
        <v>19</v>
      </c>
      <c r="D3">
        <v>4.95</v>
      </c>
      <c r="E3">
        <v>31.7</v>
      </c>
      <c r="F3">
        <f>F2</f>
        <v>170</v>
      </c>
      <c r="G3">
        <f>G2</f>
        <v>387.6</v>
      </c>
      <c r="H3" t="s">
        <v>20</v>
      </c>
      <c r="I3">
        <v>550</v>
      </c>
      <c r="J3">
        <v>490</v>
      </c>
      <c r="K3">
        <v>0.13200000000000001</v>
      </c>
      <c r="L3">
        <v>35.299999999999997</v>
      </c>
      <c r="M3">
        <v>8.83</v>
      </c>
      <c r="N3" t="s">
        <v>21</v>
      </c>
      <c r="O3">
        <f>O2</f>
        <v>300</v>
      </c>
      <c r="P3">
        <v>40.54</v>
      </c>
      <c r="Q3">
        <v>30</v>
      </c>
      <c r="R3">
        <v>3</v>
      </c>
      <c r="S3">
        <v>0.192155895411939</v>
      </c>
    </row>
    <row r="4" spans="1:19" x14ac:dyDescent="0.25">
      <c r="A4">
        <v>1001</v>
      </c>
      <c r="B4">
        <v>1</v>
      </c>
      <c r="C4" t="s">
        <v>19</v>
      </c>
      <c r="D4">
        <v>4.95</v>
      </c>
      <c r="E4">
        <v>31.7</v>
      </c>
      <c r="F4">
        <f t="shared" ref="F4:F35" si="0">F3</f>
        <v>170</v>
      </c>
      <c r="G4">
        <f t="shared" ref="G4:G35" si="1">G3</f>
        <v>387.6</v>
      </c>
      <c r="H4" t="s">
        <v>20</v>
      </c>
      <c r="I4">
        <v>550</v>
      </c>
      <c r="J4">
        <v>490</v>
      </c>
      <c r="K4">
        <v>0.13200000000000001</v>
      </c>
      <c r="L4">
        <v>35.299999999999997</v>
      </c>
      <c r="M4">
        <v>8.83</v>
      </c>
      <c r="N4" t="s">
        <v>21</v>
      </c>
      <c r="O4">
        <f t="shared" ref="O4:O29" si="2">O3</f>
        <v>300</v>
      </c>
      <c r="P4">
        <v>40.54</v>
      </c>
      <c r="Q4">
        <v>30</v>
      </c>
      <c r="R4">
        <v>5</v>
      </c>
      <c r="S4">
        <v>0.211149481993093</v>
      </c>
    </row>
    <row r="5" spans="1:19" x14ac:dyDescent="0.25">
      <c r="A5">
        <v>1001</v>
      </c>
      <c r="B5">
        <v>1</v>
      </c>
      <c r="C5" t="s">
        <v>19</v>
      </c>
      <c r="D5">
        <v>4.95</v>
      </c>
      <c r="E5">
        <v>31.7</v>
      </c>
      <c r="F5">
        <f t="shared" si="0"/>
        <v>170</v>
      </c>
      <c r="G5">
        <f t="shared" si="1"/>
        <v>387.6</v>
      </c>
      <c r="H5" t="s">
        <v>20</v>
      </c>
      <c r="I5">
        <v>550</v>
      </c>
      <c r="J5">
        <v>490</v>
      </c>
      <c r="K5">
        <v>0.13200000000000001</v>
      </c>
      <c r="L5">
        <v>35.299999999999997</v>
      </c>
      <c r="M5">
        <v>8.83</v>
      </c>
      <c r="N5" t="s">
        <v>21</v>
      </c>
      <c r="O5">
        <f t="shared" si="2"/>
        <v>300</v>
      </c>
      <c r="P5">
        <v>40.54</v>
      </c>
      <c r="Q5">
        <v>30</v>
      </c>
      <c r="R5">
        <v>7</v>
      </c>
      <c r="S5">
        <v>0.25653675382338398</v>
      </c>
    </row>
    <row r="6" spans="1:19" x14ac:dyDescent="0.25">
      <c r="A6">
        <v>1001</v>
      </c>
      <c r="B6">
        <v>1</v>
      </c>
      <c r="C6" t="s">
        <v>19</v>
      </c>
      <c r="D6">
        <v>4.95</v>
      </c>
      <c r="E6">
        <v>31.7</v>
      </c>
      <c r="F6">
        <f t="shared" si="0"/>
        <v>170</v>
      </c>
      <c r="G6">
        <f t="shared" si="1"/>
        <v>387.6</v>
      </c>
      <c r="H6" t="s">
        <v>20</v>
      </c>
      <c r="I6">
        <v>550</v>
      </c>
      <c r="J6">
        <v>490</v>
      </c>
      <c r="K6">
        <v>0.13200000000000001</v>
      </c>
      <c r="L6">
        <v>35.299999999999997</v>
      </c>
      <c r="M6">
        <v>8.83</v>
      </c>
      <c r="N6" t="s">
        <v>21</v>
      </c>
      <c r="O6">
        <f t="shared" si="2"/>
        <v>300</v>
      </c>
      <c r="P6">
        <v>40.54</v>
      </c>
      <c r="Q6">
        <v>30</v>
      </c>
      <c r="R6">
        <v>12</v>
      </c>
      <c r="S6">
        <v>0.26319684262456799</v>
      </c>
    </row>
    <row r="7" spans="1:19" x14ac:dyDescent="0.25">
      <c r="A7">
        <v>1001</v>
      </c>
      <c r="B7">
        <v>1</v>
      </c>
      <c r="C7" t="s">
        <v>19</v>
      </c>
      <c r="D7">
        <v>4.95</v>
      </c>
      <c r="E7">
        <v>31.7</v>
      </c>
      <c r="F7">
        <f t="shared" si="0"/>
        <v>170</v>
      </c>
      <c r="G7">
        <f t="shared" si="1"/>
        <v>387.6</v>
      </c>
      <c r="H7" t="s">
        <v>20</v>
      </c>
      <c r="I7">
        <v>550</v>
      </c>
      <c r="J7">
        <v>490</v>
      </c>
      <c r="K7">
        <v>0.13200000000000001</v>
      </c>
      <c r="L7">
        <v>35.299999999999997</v>
      </c>
      <c r="M7">
        <v>8.83</v>
      </c>
      <c r="N7" t="s">
        <v>21</v>
      </c>
      <c r="O7">
        <f t="shared" si="2"/>
        <v>300</v>
      </c>
      <c r="P7">
        <v>40.54</v>
      </c>
      <c r="Q7">
        <v>30</v>
      </c>
      <c r="R7">
        <v>17</v>
      </c>
      <c r="S7">
        <v>0.283917118894919</v>
      </c>
    </row>
    <row r="8" spans="1:19" x14ac:dyDescent="0.25">
      <c r="A8">
        <v>1001</v>
      </c>
      <c r="B8">
        <v>1</v>
      </c>
      <c r="C8" t="s">
        <v>19</v>
      </c>
      <c r="D8">
        <v>4.95</v>
      </c>
      <c r="E8">
        <v>31.7</v>
      </c>
      <c r="F8">
        <f t="shared" si="0"/>
        <v>170</v>
      </c>
      <c r="G8">
        <f t="shared" si="1"/>
        <v>387.6</v>
      </c>
      <c r="H8" t="s">
        <v>20</v>
      </c>
      <c r="I8">
        <v>550</v>
      </c>
      <c r="J8">
        <v>490</v>
      </c>
      <c r="K8">
        <v>0.13200000000000001</v>
      </c>
      <c r="L8">
        <v>35.299999999999997</v>
      </c>
      <c r="M8">
        <v>8.83</v>
      </c>
      <c r="N8" t="s">
        <v>21</v>
      </c>
      <c r="O8">
        <f t="shared" si="2"/>
        <v>300</v>
      </c>
      <c r="P8">
        <v>40.54</v>
      </c>
      <c r="Q8">
        <v>30</v>
      </c>
      <c r="R8">
        <v>22</v>
      </c>
      <c r="S8">
        <v>0.29501726689689201</v>
      </c>
    </row>
    <row r="9" spans="1:19" x14ac:dyDescent="0.25">
      <c r="A9">
        <v>1001</v>
      </c>
      <c r="B9">
        <v>1</v>
      </c>
      <c r="C9" t="s">
        <v>19</v>
      </c>
      <c r="D9">
        <v>4.95</v>
      </c>
      <c r="E9">
        <v>31.7</v>
      </c>
      <c r="F9">
        <f t="shared" si="0"/>
        <v>170</v>
      </c>
      <c r="G9">
        <f t="shared" si="1"/>
        <v>387.6</v>
      </c>
      <c r="H9" t="s">
        <v>20</v>
      </c>
      <c r="I9">
        <v>550</v>
      </c>
      <c r="J9">
        <v>490</v>
      </c>
      <c r="K9">
        <v>0.13200000000000001</v>
      </c>
      <c r="L9">
        <v>35.299999999999997</v>
      </c>
      <c r="M9">
        <v>8.83</v>
      </c>
      <c r="N9" t="s">
        <v>21</v>
      </c>
      <c r="O9">
        <f t="shared" si="2"/>
        <v>300</v>
      </c>
      <c r="P9">
        <v>40.54</v>
      </c>
      <c r="Q9">
        <v>30</v>
      </c>
      <c r="R9">
        <v>1</v>
      </c>
      <c r="S9">
        <v>0.195362604834731</v>
      </c>
    </row>
    <row r="10" spans="1:19" x14ac:dyDescent="0.25">
      <c r="A10">
        <v>1001</v>
      </c>
      <c r="B10">
        <v>1</v>
      </c>
      <c r="C10" t="s">
        <v>19</v>
      </c>
      <c r="D10">
        <v>4.95</v>
      </c>
      <c r="E10">
        <v>31.7</v>
      </c>
      <c r="F10">
        <f t="shared" si="0"/>
        <v>170</v>
      </c>
      <c r="G10">
        <f t="shared" si="1"/>
        <v>387.6</v>
      </c>
      <c r="H10" t="s">
        <v>20</v>
      </c>
      <c r="I10">
        <v>550</v>
      </c>
      <c r="J10">
        <v>490</v>
      </c>
      <c r="K10">
        <v>0.13200000000000001</v>
      </c>
      <c r="L10">
        <v>35.299999999999997</v>
      </c>
      <c r="M10">
        <v>8.83</v>
      </c>
      <c r="N10" t="s">
        <v>21</v>
      </c>
      <c r="O10">
        <f t="shared" si="2"/>
        <v>300</v>
      </c>
      <c r="P10">
        <v>40.54</v>
      </c>
      <c r="Q10">
        <v>30</v>
      </c>
      <c r="R10">
        <v>3</v>
      </c>
      <c r="S10">
        <v>0.29378391711889501</v>
      </c>
    </row>
    <row r="11" spans="1:19" x14ac:dyDescent="0.25">
      <c r="A11">
        <v>1001</v>
      </c>
      <c r="B11">
        <v>1</v>
      </c>
      <c r="C11" t="s">
        <v>19</v>
      </c>
      <c r="D11">
        <v>4.95</v>
      </c>
      <c r="E11">
        <v>31.7</v>
      </c>
      <c r="F11">
        <f t="shared" si="0"/>
        <v>170</v>
      </c>
      <c r="G11">
        <f t="shared" si="1"/>
        <v>387.6</v>
      </c>
      <c r="H11" t="s">
        <v>20</v>
      </c>
      <c r="I11">
        <v>550</v>
      </c>
      <c r="J11">
        <v>490</v>
      </c>
      <c r="K11">
        <v>0.13200000000000001</v>
      </c>
      <c r="L11">
        <v>35.299999999999997</v>
      </c>
      <c r="M11">
        <v>8.83</v>
      </c>
      <c r="N11" t="s">
        <v>21</v>
      </c>
      <c r="O11">
        <f t="shared" si="2"/>
        <v>300</v>
      </c>
      <c r="P11">
        <v>40.54</v>
      </c>
      <c r="Q11">
        <v>30</v>
      </c>
      <c r="R11">
        <v>5</v>
      </c>
      <c r="S11">
        <v>0.39935865811544102</v>
      </c>
    </row>
    <row r="12" spans="1:19" x14ac:dyDescent="0.25">
      <c r="A12">
        <v>1001</v>
      </c>
      <c r="B12">
        <v>1</v>
      </c>
      <c r="C12" t="s">
        <v>19</v>
      </c>
      <c r="D12">
        <v>4.95</v>
      </c>
      <c r="E12">
        <v>31.7</v>
      </c>
      <c r="F12">
        <f t="shared" si="0"/>
        <v>170</v>
      </c>
      <c r="G12">
        <f t="shared" si="1"/>
        <v>387.6</v>
      </c>
      <c r="H12" t="s">
        <v>20</v>
      </c>
      <c r="I12">
        <v>550</v>
      </c>
      <c r="J12">
        <v>490</v>
      </c>
      <c r="K12">
        <v>0.13200000000000001</v>
      </c>
      <c r="L12">
        <v>35.299999999999997</v>
      </c>
      <c r="M12">
        <v>8.83</v>
      </c>
      <c r="N12" t="s">
        <v>21</v>
      </c>
      <c r="O12">
        <f t="shared" si="2"/>
        <v>300</v>
      </c>
      <c r="P12">
        <v>40.54</v>
      </c>
      <c r="Q12">
        <v>30</v>
      </c>
      <c r="R12">
        <v>7</v>
      </c>
      <c r="S12">
        <v>0.46497286630488399</v>
      </c>
    </row>
    <row r="13" spans="1:19" x14ac:dyDescent="0.25">
      <c r="A13">
        <v>1001</v>
      </c>
      <c r="B13">
        <v>1</v>
      </c>
      <c r="C13" t="s">
        <v>19</v>
      </c>
      <c r="D13">
        <v>4.95</v>
      </c>
      <c r="E13">
        <v>31.7</v>
      </c>
      <c r="F13">
        <f t="shared" si="0"/>
        <v>170</v>
      </c>
      <c r="G13">
        <f t="shared" si="1"/>
        <v>387.6</v>
      </c>
      <c r="H13" t="s">
        <v>20</v>
      </c>
      <c r="I13">
        <v>550</v>
      </c>
      <c r="J13">
        <v>490</v>
      </c>
      <c r="K13">
        <v>0.13200000000000001</v>
      </c>
      <c r="L13">
        <v>35.299999999999997</v>
      </c>
      <c r="M13">
        <v>8.83</v>
      </c>
      <c r="N13" t="s">
        <v>21</v>
      </c>
      <c r="O13">
        <f t="shared" si="2"/>
        <v>300</v>
      </c>
      <c r="P13">
        <v>40.54</v>
      </c>
      <c r="Q13">
        <v>30</v>
      </c>
      <c r="R13">
        <v>12</v>
      </c>
      <c r="S13">
        <v>0.48149975333004402</v>
      </c>
    </row>
    <row r="14" spans="1:19" x14ac:dyDescent="0.25">
      <c r="A14">
        <v>1001</v>
      </c>
      <c r="B14">
        <v>1</v>
      </c>
      <c r="C14" t="s">
        <v>19</v>
      </c>
      <c r="D14">
        <v>4.95</v>
      </c>
      <c r="E14">
        <v>31.7</v>
      </c>
      <c r="F14">
        <f t="shared" si="0"/>
        <v>170</v>
      </c>
      <c r="G14">
        <f t="shared" si="1"/>
        <v>387.6</v>
      </c>
      <c r="H14" t="s">
        <v>20</v>
      </c>
      <c r="I14">
        <v>550</v>
      </c>
      <c r="J14">
        <v>490</v>
      </c>
      <c r="K14">
        <v>0.13200000000000001</v>
      </c>
      <c r="L14">
        <v>35.299999999999997</v>
      </c>
      <c r="M14">
        <v>8.83</v>
      </c>
      <c r="N14" t="s">
        <v>21</v>
      </c>
      <c r="O14">
        <f t="shared" si="2"/>
        <v>300</v>
      </c>
      <c r="P14">
        <v>40.54</v>
      </c>
      <c r="Q14">
        <v>30</v>
      </c>
      <c r="R14">
        <v>17</v>
      </c>
      <c r="S14">
        <v>0.48766650222003</v>
      </c>
    </row>
    <row r="15" spans="1:19" x14ac:dyDescent="0.25">
      <c r="A15">
        <v>1001</v>
      </c>
      <c r="B15">
        <v>1</v>
      </c>
      <c r="C15" t="s">
        <v>19</v>
      </c>
      <c r="D15">
        <v>4.95</v>
      </c>
      <c r="E15">
        <v>31.7</v>
      </c>
      <c r="F15">
        <f t="shared" si="0"/>
        <v>170</v>
      </c>
      <c r="G15">
        <f t="shared" si="1"/>
        <v>387.6</v>
      </c>
      <c r="H15" t="s">
        <v>20</v>
      </c>
      <c r="I15">
        <v>550</v>
      </c>
      <c r="J15">
        <v>490</v>
      </c>
      <c r="K15">
        <v>0.13200000000000001</v>
      </c>
      <c r="L15">
        <v>35.299999999999997</v>
      </c>
      <c r="M15">
        <v>8.83</v>
      </c>
      <c r="N15" t="s">
        <v>21</v>
      </c>
      <c r="O15">
        <f t="shared" si="2"/>
        <v>300</v>
      </c>
      <c r="P15">
        <v>40.54</v>
      </c>
      <c r="Q15">
        <v>30</v>
      </c>
      <c r="R15">
        <v>22</v>
      </c>
      <c r="S15">
        <v>0.496793290577208</v>
      </c>
    </row>
    <row r="16" spans="1:19" x14ac:dyDescent="0.25">
      <c r="A16">
        <v>1001</v>
      </c>
      <c r="B16">
        <v>1</v>
      </c>
      <c r="C16" t="s">
        <v>19</v>
      </c>
      <c r="D16">
        <v>4.95</v>
      </c>
      <c r="E16">
        <v>31.7</v>
      </c>
      <c r="F16">
        <f t="shared" si="0"/>
        <v>170</v>
      </c>
      <c r="G16">
        <f t="shared" si="1"/>
        <v>387.6</v>
      </c>
      <c r="H16" t="s">
        <v>20</v>
      </c>
      <c r="I16">
        <v>550</v>
      </c>
      <c r="J16">
        <v>490</v>
      </c>
      <c r="K16">
        <v>0.13200000000000001</v>
      </c>
      <c r="L16">
        <v>35.299999999999997</v>
      </c>
      <c r="M16">
        <v>8.83</v>
      </c>
      <c r="N16" t="s">
        <v>21</v>
      </c>
      <c r="O16">
        <f t="shared" si="2"/>
        <v>300</v>
      </c>
      <c r="P16">
        <v>40.54</v>
      </c>
      <c r="Q16">
        <v>30</v>
      </c>
      <c r="R16">
        <v>1</v>
      </c>
      <c r="S16">
        <v>0.29057720769610301</v>
      </c>
    </row>
    <row r="17" spans="1:19" x14ac:dyDescent="0.25">
      <c r="A17">
        <v>1001</v>
      </c>
      <c r="B17">
        <v>1</v>
      </c>
      <c r="C17" t="s">
        <v>19</v>
      </c>
      <c r="D17">
        <v>4.95</v>
      </c>
      <c r="E17">
        <v>31.7</v>
      </c>
      <c r="F17">
        <f t="shared" si="0"/>
        <v>170</v>
      </c>
      <c r="G17">
        <f t="shared" si="1"/>
        <v>387.6</v>
      </c>
      <c r="H17" t="s">
        <v>20</v>
      </c>
      <c r="I17">
        <v>550</v>
      </c>
      <c r="J17">
        <v>490</v>
      </c>
      <c r="K17">
        <v>0.13200000000000001</v>
      </c>
      <c r="L17">
        <v>35.299999999999997</v>
      </c>
      <c r="M17">
        <v>8.83</v>
      </c>
      <c r="N17" t="s">
        <v>21</v>
      </c>
      <c r="O17">
        <f t="shared" si="2"/>
        <v>300</v>
      </c>
      <c r="P17">
        <v>40.54</v>
      </c>
      <c r="Q17">
        <v>30</v>
      </c>
      <c r="R17">
        <v>3</v>
      </c>
      <c r="S17">
        <v>0.37617168228909698</v>
      </c>
    </row>
    <row r="18" spans="1:19" x14ac:dyDescent="0.25">
      <c r="A18">
        <v>1001</v>
      </c>
      <c r="B18">
        <v>1</v>
      </c>
      <c r="C18" t="s">
        <v>19</v>
      </c>
      <c r="D18">
        <v>4.95</v>
      </c>
      <c r="E18">
        <v>31.7</v>
      </c>
      <c r="F18">
        <f t="shared" si="0"/>
        <v>170</v>
      </c>
      <c r="G18">
        <f t="shared" si="1"/>
        <v>387.6</v>
      </c>
      <c r="H18" t="s">
        <v>20</v>
      </c>
      <c r="I18">
        <v>550</v>
      </c>
      <c r="J18">
        <v>490</v>
      </c>
      <c r="K18">
        <v>0.13200000000000001</v>
      </c>
      <c r="L18">
        <v>35.299999999999997</v>
      </c>
      <c r="M18">
        <v>8.83</v>
      </c>
      <c r="N18" t="s">
        <v>21</v>
      </c>
      <c r="O18">
        <f t="shared" si="2"/>
        <v>300</v>
      </c>
      <c r="P18">
        <v>40.54</v>
      </c>
      <c r="Q18">
        <v>30</v>
      </c>
      <c r="R18">
        <v>5</v>
      </c>
      <c r="S18">
        <v>0.49901332017760203</v>
      </c>
    </row>
    <row r="19" spans="1:19" x14ac:dyDescent="0.25">
      <c r="A19">
        <v>1001</v>
      </c>
      <c r="B19">
        <v>1</v>
      </c>
      <c r="C19" t="s">
        <v>19</v>
      </c>
      <c r="D19">
        <v>4.95</v>
      </c>
      <c r="E19">
        <v>31.7</v>
      </c>
      <c r="F19">
        <f t="shared" si="0"/>
        <v>170</v>
      </c>
      <c r="G19">
        <f t="shared" si="1"/>
        <v>387.6</v>
      </c>
      <c r="H19" t="s">
        <v>20</v>
      </c>
      <c r="I19">
        <v>550</v>
      </c>
      <c r="J19">
        <v>490</v>
      </c>
      <c r="K19">
        <v>0.13200000000000001</v>
      </c>
      <c r="L19">
        <v>35.299999999999997</v>
      </c>
      <c r="M19">
        <v>8.83</v>
      </c>
      <c r="N19" t="s">
        <v>21</v>
      </c>
      <c r="O19">
        <f t="shared" si="2"/>
        <v>300</v>
      </c>
      <c r="P19">
        <v>40.54</v>
      </c>
      <c r="Q19">
        <v>30</v>
      </c>
      <c r="R19">
        <v>7</v>
      </c>
      <c r="S19">
        <v>0.58756783423779002</v>
      </c>
    </row>
    <row r="20" spans="1:19" x14ac:dyDescent="0.25">
      <c r="A20">
        <v>1001</v>
      </c>
      <c r="B20">
        <v>1</v>
      </c>
      <c r="C20" t="s">
        <v>19</v>
      </c>
      <c r="D20">
        <v>4.95</v>
      </c>
      <c r="E20">
        <v>31.7</v>
      </c>
      <c r="F20">
        <f t="shared" si="0"/>
        <v>170</v>
      </c>
      <c r="G20">
        <f t="shared" si="1"/>
        <v>387.6</v>
      </c>
      <c r="H20" t="s">
        <v>20</v>
      </c>
      <c r="I20">
        <v>550</v>
      </c>
      <c r="J20">
        <v>490</v>
      </c>
      <c r="K20">
        <v>0.13200000000000001</v>
      </c>
      <c r="L20">
        <v>35.299999999999997</v>
      </c>
      <c r="M20">
        <v>8.83</v>
      </c>
      <c r="N20" t="s">
        <v>21</v>
      </c>
      <c r="O20">
        <f t="shared" si="2"/>
        <v>300</v>
      </c>
      <c r="P20">
        <v>40.54</v>
      </c>
      <c r="Q20">
        <v>30</v>
      </c>
      <c r="R20">
        <v>12</v>
      </c>
      <c r="S20">
        <v>0.65811544153922097</v>
      </c>
    </row>
    <row r="21" spans="1:19" x14ac:dyDescent="0.25">
      <c r="A21">
        <v>1001</v>
      </c>
      <c r="B21">
        <v>1</v>
      </c>
      <c r="C21" t="s">
        <v>19</v>
      </c>
      <c r="D21">
        <v>4.95</v>
      </c>
      <c r="E21">
        <v>31.7</v>
      </c>
      <c r="F21">
        <f t="shared" si="0"/>
        <v>170</v>
      </c>
      <c r="G21">
        <f t="shared" si="1"/>
        <v>387.6</v>
      </c>
      <c r="H21" t="s">
        <v>20</v>
      </c>
      <c r="I21">
        <v>550</v>
      </c>
      <c r="J21">
        <v>490</v>
      </c>
      <c r="K21">
        <v>0.13200000000000001</v>
      </c>
      <c r="L21">
        <v>35.299999999999997</v>
      </c>
      <c r="M21">
        <v>8.83</v>
      </c>
      <c r="N21" t="s">
        <v>21</v>
      </c>
      <c r="O21">
        <f t="shared" si="2"/>
        <v>300</v>
      </c>
      <c r="P21">
        <v>40.54</v>
      </c>
      <c r="Q21">
        <v>30</v>
      </c>
      <c r="R21">
        <v>17</v>
      </c>
      <c r="S21">
        <v>0.67118894918598904</v>
      </c>
    </row>
    <row r="22" spans="1:19" x14ac:dyDescent="0.25">
      <c r="A22">
        <v>1001</v>
      </c>
      <c r="B22">
        <v>1</v>
      </c>
      <c r="C22" t="s">
        <v>19</v>
      </c>
      <c r="D22">
        <v>4.95</v>
      </c>
      <c r="E22">
        <v>31.7</v>
      </c>
      <c r="F22">
        <f t="shared" si="0"/>
        <v>170</v>
      </c>
      <c r="G22">
        <f t="shared" si="1"/>
        <v>387.6</v>
      </c>
      <c r="H22" t="s">
        <v>20</v>
      </c>
      <c r="I22">
        <v>550</v>
      </c>
      <c r="J22">
        <v>490</v>
      </c>
      <c r="K22">
        <v>0.13200000000000001</v>
      </c>
      <c r="L22">
        <v>35.299999999999997</v>
      </c>
      <c r="M22">
        <v>8.83</v>
      </c>
      <c r="N22" t="s">
        <v>21</v>
      </c>
      <c r="O22">
        <f t="shared" si="2"/>
        <v>300</v>
      </c>
      <c r="P22">
        <v>40.54</v>
      </c>
      <c r="Q22">
        <v>30</v>
      </c>
      <c r="R22">
        <v>22</v>
      </c>
      <c r="S22">
        <v>0.68722249629995102</v>
      </c>
    </row>
    <row r="23" spans="1:19" x14ac:dyDescent="0.25">
      <c r="A23">
        <v>1001</v>
      </c>
      <c r="B23">
        <v>1</v>
      </c>
      <c r="C23" t="s">
        <v>19</v>
      </c>
      <c r="D23">
        <v>4.95</v>
      </c>
      <c r="E23">
        <v>31.7</v>
      </c>
      <c r="F23">
        <f t="shared" si="0"/>
        <v>170</v>
      </c>
      <c r="G23">
        <f t="shared" si="1"/>
        <v>387.6</v>
      </c>
      <c r="H23" t="s">
        <v>20</v>
      </c>
      <c r="I23">
        <v>550</v>
      </c>
      <c r="J23">
        <v>490</v>
      </c>
      <c r="K23">
        <v>0.13200000000000001</v>
      </c>
      <c r="L23">
        <v>35.299999999999997</v>
      </c>
      <c r="M23">
        <v>8.83</v>
      </c>
      <c r="N23" t="s">
        <v>21</v>
      </c>
      <c r="O23">
        <f t="shared" si="2"/>
        <v>300</v>
      </c>
      <c r="P23">
        <v>40.54</v>
      </c>
      <c r="Q23">
        <v>30</v>
      </c>
      <c r="R23">
        <v>1</v>
      </c>
      <c r="S23">
        <v>3.9467192895905299E-2</v>
      </c>
    </row>
    <row r="24" spans="1:19" x14ac:dyDescent="0.25">
      <c r="A24">
        <v>1001</v>
      </c>
      <c r="B24">
        <v>1</v>
      </c>
      <c r="C24" t="s">
        <v>19</v>
      </c>
      <c r="D24">
        <v>4.95</v>
      </c>
      <c r="E24">
        <v>31.7</v>
      </c>
      <c r="F24">
        <f t="shared" si="0"/>
        <v>170</v>
      </c>
      <c r="G24">
        <f t="shared" si="1"/>
        <v>387.6</v>
      </c>
      <c r="H24" t="s">
        <v>20</v>
      </c>
      <c r="I24">
        <v>550</v>
      </c>
      <c r="J24">
        <v>490</v>
      </c>
      <c r="K24">
        <v>0.13200000000000001</v>
      </c>
      <c r="L24">
        <v>35.299999999999997</v>
      </c>
      <c r="M24">
        <v>8.83</v>
      </c>
      <c r="N24" t="s">
        <v>21</v>
      </c>
      <c r="O24">
        <f t="shared" si="2"/>
        <v>300</v>
      </c>
      <c r="P24">
        <v>40.54</v>
      </c>
      <c r="Q24">
        <v>30</v>
      </c>
      <c r="R24">
        <v>3</v>
      </c>
      <c r="S24">
        <v>4.7853971386285103E-2</v>
      </c>
    </row>
    <row r="25" spans="1:19" x14ac:dyDescent="0.25">
      <c r="A25">
        <v>1001</v>
      </c>
      <c r="B25">
        <v>1</v>
      </c>
      <c r="C25" t="s">
        <v>19</v>
      </c>
      <c r="D25">
        <v>4.95</v>
      </c>
      <c r="E25">
        <v>31.7</v>
      </c>
      <c r="F25">
        <f t="shared" si="0"/>
        <v>170</v>
      </c>
      <c r="G25">
        <f t="shared" si="1"/>
        <v>387.6</v>
      </c>
      <c r="H25" t="s">
        <v>20</v>
      </c>
      <c r="I25">
        <v>550</v>
      </c>
      <c r="J25">
        <v>490</v>
      </c>
      <c r="K25">
        <v>0.13200000000000001</v>
      </c>
      <c r="L25">
        <v>35.299999999999997</v>
      </c>
      <c r="M25">
        <v>8.83</v>
      </c>
      <c r="N25" t="s">
        <v>21</v>
      </c>
      <c r="O25">
        <f t="shared" si="2"/>
        <v>300</v>
      </c>
      <c r="P25">
        <v>40.54</v>
      </c>
      <c r="Q25">
        <v>30</v>
      </c>
      <c r="R25">
        <v>5</v>
      </c>
      <c r="S25">
        <v>5.0074000986679801E-2</v>
      </c>
    </row>
    <row r="26" spans="1:19" x14ac:dyDescent="0.25">
      <c r="A26">
        <v>1001</v>
      </c>
      <c r="B26">
        <v>1</v>
      </c>
      <c r="C26" t="s">
        <v>19</v>
      </c>
      <c r="D26">
        <v>4.95</v>
      </c>
      <c r="E26">
        <v>31.7</v>
      </c>
      <c r="F26">
        <f t="shared" si="0"/>
        <v>170</v>
      </c>
      <c r="G26">
        <f t="shared" si="1"/>
        <v>387.6</v>
      </c>
      <c r="H26" t="s">
        <v>20</v>
      </c>
      <c r="I26">
        <v>550</v>
      </c>
      <c r="J26">
        <v>490</v>
      </c>
      <c r="K26">
        <v>0.13200000000000001</v>
      </c>
      <c r="L26">
        <v>35.299999999999997</v>
      </c>
      <c r="M26">
        <v>8.83</v>
      </c>
      <c r="N26" t="s">
        <v>21</v>
      </c>
      <c r="O26">
        <f t="shared" si="2"/>
        <v>300</v>
      </c>
      <c r="P26">
        <v>40.54</v>
      </c>
      <c r="Q26">
        <v>30</v>
      </c>
      <c r="R26">
        <v>7</v>
      </c>
      <c r="S26">
        <v>6.3887518500246598E-2</v>
      </c>
    </row>
    <row r="27" spans="1:19" x14ac:dyDescent="0.25">
      <c r="A27">
        <v>1001</v>
      </c>
      <c r="B27">
        <v>1</v>
      </c>
      <c r="C27" t="s">
        <v>19</v>
      </c>
      <c r="D27">
        <v>4.95</v>
      </c>
      <c r="E27">
        <v>31.7</v>
      </c>
      <c r="F27">
        <f t="shared" si="0"/>
        <v>170</v>
      </c>
      <c r="G27">
        <f t="shared" si="1"/>
        <v>387.6</v>
      </c>
      <c r="H27" t="s">
        <v>20</v>
      </c>
      <c r="I27">
        <v>550</v>
      </c>
      <c r="J27">
        <v>490</v>
      </c>
      <c r="K27">
        <v>0.13200000000000001</v>
      </c>
      <c r="L27">
        <v>35.299999999999997</v>
      </c>
      <c r="M27">
        <v>8.83</v>
      </c>
      <c r="N27" t="s">
        <v>21</v>
      </c>
      <c r="O27">
        <f t="shared" si="2"/>
        <v>300</v>
      </c>
      <c r="P27">
        <v>40.54</v>
      </c>
      <c r="Q27">
        <v>30</v>
      </c>
      <c r="R27">
        <v>12</v>
      </c>
      <c r="S27">
        <v>0.113714849531327</v>
      </c>
    </row>
    <row r="28" spans="1:19" x14ac:dyDescent="0.25">
      <c r="A28">
        <v>1001</v>
      </c>
      <c r="B28">
        <v>1</v>
      </c>
      <c r="C28" t="s">
        <v>19</v>
      </c>
      <c r="D28">
        <v>4.95</v>
      </c>
      <c r="E28">
        <v>31.7</v>
      </c>
      <c r="F28">
        <f t="shared" si="0"/>
        <v>170</v>
      </c>
      <c r="G28">
        <f t="shared" si="1"/>
        <v>387.6</v>
      </c>
      <c r="H28" t="s">
        <v>20</v>
      </c>
      <c r="I28">
        <v>550</v>
      </c>
      <c r="J28">
        <v>490</v>
      </c>
      <c r="K28">
        <v>0.13200000000000001</v>
      </c>
      <c r="L28">
        <v>35.299999999999997</v>
      </c>
      <c r="M28">
        <v>8.83</v>
      </c>
      <c r="N28" t="s">
        <v>21</v>
      </c>
      <c r="O28">
        <f t="shared" si="2"/>
        <v>300</v>
      </c>
      <c r="P28">
        <v>40.54</v>
      </c>
      <c r="Q28">
        <v>30</v>
      </c>
      <c r="R28">
        <v>17</v>
      </c>
      <c r="S28">
        <v>0.12728169708929399</v>
      </c>
    </row>
    <row r="29" spans="1:19" x14ac:dyDescent="0.25">
      <c r="A29">
        <v>1001</v>
      </c>
      <c r="B29">
        <v>1</v>
      </c>
      <c r="C29" t="s">
        <v>19</v>
      </c>
      <c r="D29">
        <v>4.95</v>
      </c>
      <c r="E29">
        <v>31.7</v>
      </c>
      <c r="F29">
        <f t="shared" si="0"/>
        <v>170</v>
      </c>
      <c r="G29">
        <f t="shared" si="1"/>
        <v>387.6</v>
      </c>
      <c r="H29" t="s">
        <v>20</v>
      </c>
      <c r="I29">
        <v>550</v>
      </c>
      <c r="J29">
        <v>490</v>
      </c>
      <c r="K29">
        <v>0.13200000000000001</v>
      </c>
      <c r="L29">
        <v>35.299999999999997</v>
      </c>
      <c r="M29">
        <v>8.83</v>
      </c>
      <c r="N29" t="s">
        <v>21</v>
      </c>
      <c r="O29">
        <f t="shared" si="2"/>
        <v>300</v>
      </c>
      <c r="P29">
        <v>40.54</v>
      </c>
      <c r="Q29">
        <v>30</v>
      </c>
      <c r="R29">
        <v>22</v>
      </c>
      <c r="S29">
        <v>0.16798223976319701</v>
      </c>
    </row>
    <row r="30" spans="1:19" x14ac:dyDescent="0.25">
      <c r="A30">
        <v>1001</v>
      </c>
      <c r="B30">
        <v>2</v>
      </c>
      <c r="C30" t="s">
        <v>19</v>
      </c>
      <c r="D30">
        <v>4.95</v>
      </c>
      <c r="E30">
        <v>31.7</v>
      </c>
      <c r="F30">
        <f t="shared" si="0"/>
        <v>170</v>
      </c>
      <c r="G30">
        <f t="shared" si="1"/>
        <v>387.6</v>
      </c>
      <c r="H30" t="s">
        <v>20</v>
      </c>
      <c r="I30">
        <v>550</v>
      </c>
      <c r="J30">
        <v>490</v>
      </c>
      <c r="K30">
        <v>0.13200000000000001</v>
      </c>
      <c r="L30">
        <v>35.299999999999997</v>
      </c>
      <c r="M30">
        <v>8.83</v>
      </c>
      <c r="N30" t="s">
        <v>21</v>
      </c>
      <c r="O30">
        <v>200</v>
      </c>
      <c r="P30">
        <v>40.54</v>
      </c>
      <c r="Q30">
        <v>30</v>
      </c>
      <c r="R30">
        <v>1</v>
      </c>
      <c r="S30">
        <v>0.25869999999999999</v>
      </c>
    </row>
    <row r="31" spans="1:19" x14ac:dyDescent="0.25">
      <c r="A31">
        <v>1001</v>
      </c>
      <c r="B31">
        <v>2</v>
      </c>
      <c r="C31" t="s">
        <v>19</v>
      </c>
      <c r="D31">
        <v>4.95</v>
      </c>
      <c r="E31">
        <v>31.7</v>
      </c>
      <c r="F31">
        <f t="shared" si="0"/>
        <v>170</v>
      </c>
      <c r="G31">
        <f t="shared" si="1"/>
        <v>387.6</v>
      </c>
      <c r="H31" t="s">
        <v>20</v>
      </c>
      <c r="I31">
        <v>550</v>
      </c>
      <c r="J31">
        <v>490</v>
      </c>
      <c r="K31">
        <v>0.13200000000000001</v>
      </c>
      <c r="L31">
        <v>35.299999999999997</v>
      </c>
      <c r="M31">
        <v>8.83</v>
      </c>
      <c r="N31" t="s">
        <v>21</v>
      </c>
      <c r="O31">
        <v>200</v>
      </c>
      <c r="P31">
        <v>40.54</v>
      </c>
      <c r="Q31">
        <v>30</v>
      </c>
      <c r="R31">
        <v>3</v>
      </c>
      <c r="S31">
        <v>0.36780000000000002</v>
      </c>
    </row>
    <row r="32" spans="1:19" x14ac:dyDescent="0.25">
      <c r="A32">
        <v>1001</v>
      </c>
      <c r="B32">
        <v>2</v>
      </c>
      <c r="C32" t="s">
        <v>19</v>
      </c>
      <c r="D32">
        <v>4.95</v>
      </c>
      <c r="E32">
        <v>31.7</v>
      </c>
      <c r="F32">
        <f t="shared" si="0"/>
        <v>170</v>
      </c>
      <c r="G32">
        <f t="shared" si="1"/>
        <v>387.6</v>
      </c>
      <c r="H32" t="s">
        <v>20</v>
      </c>
      <c r="I32">
        <v>550</v>
      </c>
      <c r="J32">
        <v>490</v>
      </c>
      <c r="K32">
        <v>0.13200000000000001</v>
      </c>
      <c r="L32">
        <v>35.299999999999997</v>
      </c>
      <c r="M32">
        <v>8.83</v>
      </c>
      <c r="N32" t="s">
        <v>21</v>
      </c>
      <c r="O32">
        <v>200</v>
      </c>
      <c r="P32">
        <v>40.54</v>
      </c>
      <c r="Q32">
        <v>30</v>
      </c>
      <c r="R32">
        <v>5</v>
      </c>
      <c r="S32">
        <v>0.44219999999999998</v>
      </c>
    </row>
    <row r="33" spans="1:19" x14ac:dyDescent="0.25">
      <c r="A33">
        <v>1001</v>
      </c>
      <c r="B33">
        <v>2</v>
      </c>
      <c r="C33" t="s">
        <v>19</v>
      </c>
      <c r="D33">
        <v>4.95</v>
      </c>
      <c r="E33">
        <v>31.7</v>
      </c>
      <c r="F33">
        <f t="shared" si="0"/>
        <v>170</v>
      </c>
      <c r="G33">
        <f t="shared" si="1"/>
        <v>387.6</v>
      </c>
      <c r="H33" t="s">
        <v>20</v>
      </c>
      <c r="I33">
        <v>550</v>
      </c>
      <c r="J33">
        <v>490</v>
      </c>
      <c r="K33">
        <v>0.13200000000000001</v>
      </c>
      <c r="L33">
        <v>35.299999999999997</v>
      </c>
      <c r="M33">
        <v>8.83</v>
      </c>
      <c r="N33" t="s">
        <v>21</v>
      </c>
      <c r="O33">
        <v>200</v>
      </c>
      <c r="P33">
        <v>40.54</v>
      </c>
      <c r="Q33">
        <v>30</v>
      </c>
      <c r="R33">
        <v>7</v>
      </c>
      <c r="S33">
        <v>0.52</v>
      </c>
    </row>
    <row r="34" spans="1:19" x14ac:dyDescent="0.25">
      <c r="A34">
        <v>1001</v>
      </c>
      <c r="B34">
        <v>2</v>
      </c>
      <c r="C34" t="s">
        <v>19</v>
      </c>
      <c r="D34">
        <v>4.95</v>
      </c>
      <c r="E34">
        <v>31.7</v>
      </c>
      <c r="F34">
        <f t="shared" si="0"/>
        <v>170</v>
      </c>
      <c r="G34">
        <f t="shared" si="1"/>
        <v>387.6</v>
      </c>
      <c r="H34" t="s">
        <v>20</v>
      </c>
      <c r="I34">
        <v>550</v>
      </c>
      <c r="J34">
        <v>490</v>
      </c>
      <c r="K34">
        <v>0.13200000000000001</v>
      </c>
      <c r="L34">
        <v>35.299999999999997</v>
      </c>
      <c r="M34">
        <v>8.83</v>
      </c>
      <c r="N34" t="s">
        <v>21</v>
      </c>
      <c r="O34">
        <v>300</v>
      </c>
      <c r="P34">
        <v>40.54</v>
      </c>
      <c r="Q34">
        <v>30</v>
      </c>
      <c r="R34">
        <v>1</v>
      </c>
      <c r="S34">
        <v>0.25869999999999999</v>
      </c>
    </row>
    <row r="35" spans="1:19" x14ac:dyDescent="0.25">
      <c r="A35">
        <v>1001</v>
      </c>
      <c r="B35">
        <v>2</v>
      </c>
      <c r="C35" t="s">
        <v>19</v>
      </c>
      <c r="D35">
        <v>4.95</v>
      </c>
      <c r="E35">
        <v>31.7</v>
      </c>
      <c r="F35">
        <f t="shared" si="0"/>
        <v>170</v>
      </c>
      <c r="G35">
        <f t="shared" si="1"/>
        <v>387.6</v>
      </c>
      <c r="H35" t="s">
        <v>20</v>
      </c>
      <c r="I35">
        <v>550</v>
      </c>
      <c r="J35">
        <v>490</v>
      </c>
      <c r="K35">
        <v>0.13200000000000001</v>
      </c>
      <c r="L35">
        <v>35.299999999999997</v>
      </c>
      <c r="M35">
        <v>8.83</v>
      </c>
      <c r="N35" t="s">
        <v>21</v>
      </c>
      <c r="O35">
        <v>300</v>
      </c>
      <c r="P35">
        <v>40.54</v>
      </c>
      <c r="Q35">
        <v>30</v>
      </c>
      <c r="R35">
        <v>3</v>
      </c>
      <c r="S35">
        <v>0.4</v>
      </c>
    </row>
    <row r="36" spans="1:19" x14ac:dyDescent="0.25">
      <c r="A36">
        <v>1001</v>
      </c>
      <c r="B36">
        <v>2</v>
      </c>
      <c r="C36" t="s">
        <v>19</v>
      </c>
      <c r="D36">
        <v>4.95</v>
      </c>
      <c r="E36">
        <v>31.7</v>
      </c>
      <c r="F36">
        <f t="shared" ref="F36:F67" si="3">F35</f>
        <v>170</v>
      </c>
      <c r="G36">
        <f t="shared" ref="G36:G67" si="4">G35</f>
        <v>387.6</v>
      </c>
      <c r="H36" t="s">
        <v>20</v>
      </c>
      <c r="I36">
        <v>550</v>
      </c>
      <c r="J36">
        <v>490</v>
      </c>
      <c r="K36">
        <v>0.13200000000000001</v>
      </c>
      <c r="L36">
        <v>35.299999999999997</v>
      </c>
      <c r="M36">
        <v>8.83</v>
      </c>
      <c r="N36" t="s">
        <v>21</v>
      </c>
      <c r="O36">
        <v>300</v>
      </c>
      <c r="P36">
        <v>40.54</v>
      </c>
      <c r="Q36">
        <v>30</v>
      </c>
      <c r="R36">
        <v>5</v>
      </c>
      <c r="S36">
        <v>0.49020000000000002</v>
      </c>
    </row>
    <row r="37" spans="1:19" x14ac:dyDescent="0.25">
      <c r="A37">
        <v>1001</v>
      </c>
      <c r="B37">
        <v>2</v>
      </c>
      <c r="C37" t="s">
        <v>19</v>
      </c>
      <c r="D37">
        <v>4.95</v>
      </c>
      <c r="E37">
        <v>31.7</v>
      </c>
      <c r="F37">
        <f t="shared" si="3"/>
        <v>170</v>
      </c>
      <c r="G37">
        <f t="shared" si="4"/>
        <v>387.6</v>
      </c>
      <c r="H37" t="s">
        <v>20</v>
      </c>
      <c r="I37">
        <v>550</v>
      </c>
      <c r="J37">
        <v>490</v>
      </c>
      <c r="K37">
        <v>0.13200000000000001</v>
      </c>
      <c r="L37">
        <v>35.299999999999997</v>
      </c>
      <c r="M37">
        <v>8.83</v>
      </c>
      <c r="N37" t="s">
        <v>21</v>
      </c>
      <c r="O37">
        <v>300</v>
      </c>
      <c r="P37">
        <v>40.54</v>
      </c>
      <c r="Q37">
        <v>30</v>
      </c>
      <c r="R37">
        <v>7</v>
      </c>
      <c r="S37">
        <v>0.6</v>
      </c>
    </row>
    <row r="38" spans="1:19" x14ac:dyDescent="0.25">
      <c r="A38">
        <v>1001</v>
      </c>
      <c r="B38">
        <v>2</v>
      </c>
      <c r="C38" t="s">
        <v>19</v>
      </c>
      <c r="D38">
        <v>4.95</v>
      </c>
      <c r="E38">
        <v>31.7</v>
      </c>
      <c r="F38">
        <f t="shared" si="3"/>
        <v>170</v>
      </c>
      <c r="G38">
        <f t="shared" si="4"/>
        <v>387.6</v>
      </c>
      <c r="H38" t="s">
        <v>20</v>
      </c>
      <c r="I38">
        <v>550</v>
      </c>
      <c r="J38">
        <v>490</v>
      </c>
      <c r="K38">
        <v>0.13200000000000001</v>
      </c>
      <c r="L38">
        <v>35.299999999999997</v>
      </c>
      <c r="M38">
        <v>8.83</v>
      </c>
      <c r="N38" t="s">
        <v>21</v>
      </c>
      <c r="O38">
        <v>400</v>
      </c>
      <c r="P38">
        <v>40.54</v>
      </c>
      <c r="Q38">
        <v>30</v>
      </c>
      <c r="R38">
        <v>1</v>
      </c>
      <c r="S38">
        <v>0.13719999999999999</v>
      </c>
    </row>
    <row r="39" spans="1:19" x14ac:dyDescent="0.25">
      <c r="A39">
        <v>1001</v>
      </c>
      <c r="B39">
        <v>2</v>
      </c>
      <c r="C39" t="s">
        <v>19</v>
      </c>
      <c r="D39">
        <v>4.95</v>
      </c>
      <c r="E39">
        <v>31.7</v>
      </c>
      <c r="F39">
        <f t="shared" si="3"/>
        <v>170</v>
      </c>
      <c r="G39">
        <f t="shared" si="4"/>
        <v>387.6</v>
      </c>
      <c r="H39" t="s">
        <v>20</v>
      </c>
      <c r="I39">
        <v>550</v>
      </c>
      <c r="J39">
        <v>490</v>
      </c>
      <c r="K39">
        <v>0.13200000000000001</v>
      </c>
      <c r="L39">
        <v>35.299999999999997</v>
      </c>
      <c r="M39">
        <v>8.83</v>
      </c>
      <c r="N39" t="s">
        <v>21</v>
      </c>
      <c r="O39">
        <v>400</v>
      </c>
      <c r="P39">
        <v>40.54</v>
      </c>
      <c r="Q39">
        <v>30</v>
      </c>
      <c r="R39">
        <v>3</v>
      </c>
      <c r="S39">
        <v>0.2339</v>
      </c>
    </row>
    <row r="40" spans="1:19" x14ac:dyDescent="0.25">
      <c r="A40">
        <v>1001</v>
      </c>
      <c r="B40">
        <v>2</v>
      </c>
      <c r="C40" t="s">
        <v>19</v>
      </c>
      <c r="D40">
        <v>4.95</v>
      </c>
      <c r="E40">
        <v>31.7</v>
      </c>
      <c r="F40">
        <f t="shared" si="3"/>
        <v>170</v>
      </c>
      <c r="G40">
        <f t="shared" si="4"/>
        <v>387.6</v>
      </c>
      <c r="H40" t="s">
        <v>20</v>
      </c>
      <c r="I40">
        <v>550</v>
      </c>
      <c r="J40">
        <v>490</v>
      </c>
      <c r="K40">
        <v>0.13200000000000001</v>
      </c>
      <c r="L40">
        <v>35.299999999999997</v>
      </c>
      <c r="M40">
        <v>8.83</v>
      </c>
      <c r="N40" t="s">
        <v>21</v>
      </c>
      <c r="O40">
        <v>400</v>
      </c>
      <c r="P40">
        <v>40.54</v>
      </c>
      <c r="Q40">
        <v>30</v>
      </c>
      <c r="R40">
        <v>5</v>
      </c>
      <c r="S40">
        <v>0.33310000000000001</v>
      </c>
    </row>
    <row r="41" spans="1:19" x14ac:dyDescent="0.25">
      <c r="A41">
        <v>1001</v>
      </c>
      <c r="B41">
        <v>2</v>
      </c>
      <c r="C41" t="s">
        <v>19</v>
      </c>
      <c r="D41">
        <v>4.95</v>
      </c>
      <c r="E41">
        <v>31.7</v>
      </c>
      <c r="F41">
        <f t="shared" si="3"/>
        <v>170</v>
      </c>
      <c r="G41">
        <f t="shared" si="4"/>
        <v>387.6</v>
      </c>
      <c r="H41" t="s">
        <v>20</v>
      </c>
      <c r="I41">
        <v>550</v>
      </c>
      <c r="J41">
        <v>490</v>
      </c>
      <c r="K41">
        <v>0.13200000000000001</v>
      </c>
      <c r="L41">
        <v>35.299999999999997</v>
      </c>
      <c r="M41">
        <v>8.83</v>
      </c>
      <c r="N41" t="s">
        <v>21</v>
      </c>
      <c r="O41">
        <v>400</v>
      </c>
      <c r="P41">
        <v>40.54</v>
      </c>
      <c r="Q41">
        <v>30</v>
      </c>
      <c r="R41">
        <v>7</v>
      </c>
      <c r="S41">
        <v>0.39</v>
      </c>
    </row>
    <row r="42" spans="1:19" x14ac:dyDescent="0.25">
      <c r="A42">
        <v>1001</v>
      </c>
      <c r="B42">
        <v>3</v>
      </c>
      <c r="C42" t="s">
        <v>19</v>
      </c>
      <c r="D42">
        <v>4.95</v>
      </c>
      <c r="E42">
        <v>31.7</v>
      </c>
      <c r="F42">
        <f t="shared" si="3"/>
        <v>170</v>
      </c>
      <c r="G42">
        <f t="shared" si="4"/>
        <v>387.6</v>
      </c>
      <c r="H42" t="s">
        <v>20</v>
      </c>
      <c r="I42">
        <v>550</v>
      </c>
      <c r="J42">
        <v>490</v>
      </c>
      <c r="K42">
        <v>0.13200000000000001</v>
      </c>
      <c r="L42">
        <v>35.299999999999997</v>
      </c>
      <c r="M42">
        <v>8.83</v>
      </c>
      <c r="N42" t="s">
        <v>21</v>
      </c>
      <c r="O42">
        <v>300</v>
      </c>
      <c r="P42">
        <v>40.54</v>
      </c>
      <c r="Q42">
        <v>15</v>
      </c>
      <c r="R42">
        <v>1</v>
      </c>
      <c r="S42">
        <v>4.6199999999999998E-2</v>
      </c>
    </row>
    <row r="43" spans="1:19" x14ac:dyDescent="0.25">
      <c r="A43">
        <v>1001</v>
      </c>
      <c r="B43">
        <v>3</v>
      </c>
      <c r="C43" t="s">
        <v>19</v>
      </c>
      <c r="D43">
        <v>4.95</v>
      </c>
      <c r="E43">
        <v>31.7</v>
      </c>
      <c r="F43">
        <f t="shared" si="3"/>
        <v>170</v>
      </c>
      <c r="G43">
        <f t="shared" si="4"/>
        <v>387.6</v>
      </c>
      <c r="H43" t="s">
        <v>20</v>
      </c>
      <c r="I43">
        <v>550</v>
      </c>
      <c r="J43">
        <v>490</v>
      </c>
      <c r="K43">
        <v>0.13200000000000001</v>
      </c>
      <c r="L43">
        <v>35.299999999999997</v>
      </c>
      <c r="M43">
        <v>8.83</v>
      </c>
      <c r="N43" t="s">
        <v>21</v>
      </c>
      <c r="O43">
        <f>O42</f>
        <v>300</v>
      </c>
      <c r="P43">
        <v>40.54</v>
      </c>
      <c r="Q43">
        <v>15</v>
      </c>
      <c r="R43">
        <v>3</v>
      </c>
      <c r="S43">
        <v>0.1351</v>
      </c>
    </row>
    <row r="44" spans="1:19" x14ac:dyDescent="0.25">
      <c r="A44">
        <v>1001</v>
      </c>
      <c r="B44">
        <v>3</v>
      </c>
      <c r="C44" t="s">
        <v>19</v>
      </c>
      <c r="D44">
        <v>4.95</v>
      </c>
      <c r="E44">
        <v>31.7</v>
      </c>
      <c r="F44">
        <f t="shared" si="3"/>
        <v>170</v>
      </c>
      <c r="G44">
        <f t="shared" si="4"/>
        <v>387.6</v>
      </c>
      <c r="H44" t="s">
        <v>20</v>
      </c>
      <c r="I44">
        <v>550</v>
      </c>
      <c r="J44">
        <v>490</v>
      </c>
      <c r="K44">
        <v>0.13200000000000001</v>
      </c>
      <c r="L44">
        <v>35.299999999999997</v>
      </c>
      <c r="M44">
        <v>8.83</v>
      </c>
      <c r="N44" t="s">
        <v>21</v>
      </c>
      <c r="O44">
        <f t="shared" ref="O44:O53" si="5">O43</f>
        <v>300</v>
      </c>
      <c r="P44">
        <v>40.54</v>
      </c>
      <c r="Q44">
        <v>15</v>
      </c>
      <c r="R44">
        <v>5</v>
      </c>
      <c r="S44">
        <v>0.25130000000000002</v>
      </c>
    </row>
    <row r="45" spans="1:19" x14ac:dyDescent="0.25">
      <c r="A45">
        <v>1001</v>
      </c>
      <c r="B45">
        <v>3</v>
      </c>
      <c r="C45" t="s">
        <v>19</v>
      </c>
      <c r="D45">
        <v>4.95</v>
      </c>
      <c r="E45">
        <v>31.7</v>
      </c>
      <c r="F45">
        <f t="shared" si="3"/>
        <v>170</v>
      </c>
      <c r="G45">
        <f t="shared" si="4"/>
        <v>387.6</v>
      </c>
      <c r="H45" t="s">
        <v>20</v>
      </c>
      <c r="I45">
        <v>550</v>
      </c>
      <c r="J45">
        <v>490</v>
      </c>
      <c r="K45">
        <v>0.13200000000000001</v>
      </c>
      <c r="L45">
        <v>35.299999999999997</v>
      </c>
      <c r="M45">
        <v>8.83</v>
      </c>
      <c r="N45" t="s">
        <v>21</v>
      </c>
      <c r="O45">
        <f t="shared" si="5"/>
        <v>300</v>
      </c>
      <c r="P45">
        <v>40.54</v>
      </c>
      <c r="Q45">
        <v>15</v>
      </c>
      <c r="R45">
        <v>7</v>
      </c>
      <c r="S45">
        <v>0.29780000000000001</v>
      </c>
    </row>
    <row r="46" spans="1:19" x14ac:dyDescent="0.25">
      <c r="A46">
        <v>1001</v>
      </c>
      <c r="B46">
        <v>3</v>
      </c>
      <c r="C46" t="s">
        <v>19</v>
      </c>
      <c r="D46">
        <v>4.95</v>
      </c>
      <c r="E46">
        <v>31.7</v>
      </c>
      <c r="F46">
        <f t="shared" si="3"/>
        <v>170</v>
      </c>
      <c r="G46">
        <f t="shared" si="4"/>
        <v>387.6</v>
      </c>
      <c r="H46" t="s">
        <v>20</v>
      </c>
      <c r="I46">
        <v>550</v>
      </c>
      <c r="J46">
        <v>490</v>
      </c>
      <c r="K46">
        <v>0.13200000000000001</v>
      </c>
      <c r="L46">
        <v>35.299999999999997</v>
      </c>
      <c r="M46">
        <v>8.83</v>
      </c>
      <c r="N46" t="s">
        <v>21</v>
      </c>
      <c r="O46">
        <f t="shared" si="5"/>
        <v>300</v>
      </c>
      <c r="P46">
        <v>40.54</v>
      </c>
      <c r="Q46">
        <v>30</v>
      </c>
      <c r="R46">
        <v>1</v>
      </c>
      <c r="S46">
        <v>0.2661</v>
      </c>
    </row>
    <row r="47" spans="1:19" x14ac:dyDescent="0.25">
      <c r="A47">
        <v>1001</v>
      </c>
      <c r="B47">
        <v>3</v>
      </c>
      <c r="C47" t="s">
        <v>19</v>
      </c>
      <c r="D47">
        <v>4.95</v>
      </c>
      <c r="E47">
        <v>31.7</v>
      </c>
      <c r="F47">
        <f t="shared" si="3"/>
        <v>170</v>
      </c>
      <c r="G47">
        <f t="shared" si="4"/>
        <v>387.6</v>
      </c>
      <c r="H47" t="s">
        <v>20</v>
      </c>
      <c r="I47">
        <v>550</v>
      </c>
      <c r="J47">
        <v>490</v>
      </c>
      <c r="K47">
        <v>0.13200000000000001</v>
      </c>
      <c r="L47">
        <v>35.299999999999997</v>
      </c>
      <c r="M47">
        <v>8.83</v>
      </c>
      <c r="N47" t="s">
        <v>21</v>
      </c>
      <c r="O47">
        <f t="shared" si="5"/>
        <v>300</v>
      </c>
      <c r="P47">
        <v>40.54</v>
      </c>
      <c r="Q47">
        <v>30</v>
      </c>
      <c r="R47">
        <v>3</v>
      </c>
      <c r="S47">
        <v>0.38469999999999999</v>
      </c>
    </row>
    <row r="48" spans="1:19" x14ac:dyDescent="0.25">
      <c r="A48">
        <v>1001</v>
      </c>
      <c r="B48">
        <v>3</v>
      </c>
      <c r="C48" t="s">
        <v>19</v>
      </c>
      <c r="D48">
        <v>4.95</v>
      </c>
      <c r="E48">
        <v>31.7</v>
      </c>
      <c r="F48">
        <f t="shared" si="3"/>
        <v>170</v>
      </c>
      <c r="G48">
        <f t="shared" si="4"/>
        <v>387.6</v>
      </c>
      <c r="H48" t="s">
        <v>20</v>
      </c>
      <c r="I48">
        <v>550</v>
      </c>
      <c r="J48">
        <v>490</v>
      </c>
      <c r="K48">
        <v>0.13200000000000001</v>
      </c>
      <c r="L48">
        <v>35.299999999999997</v>
      </c>
      <c r="M48">
        <v>8.83</v>
      </c>
      <c r="N48" t="s">
        <v>21</v>
      </c>
      <c r="O48">
        <f t="shared" si="5"/>
        <v>300</v>
      </c>
      <c r="P48">
        <v>40.54</v>
      </c>
      <c r="Q48">
        <v>30</v>
      </c>
      <c r="R48">
        <v>5</v>
      </c>
      <c r="S48">
        <v>0.49390000000000001</v>
      </c>
    </row>
    <row r="49" spans="1:19" x14ac:dyDescent="0.25">
      <c r="A49">
        <v>1001</v>
      </c>
      <c r="B49">
        <v>3</v>
      </c>
      <c r="C49" t="s">
        <v>19</v>
      </c>
      <c r="D49">
        <v>4.95</v>
      </c>
      <c r="E49">
        <v>31.7</v>
      </c>
      <c r="F49">
        <f t="shared" si="3"/>
        <v>170</v>
      </c>
      <c r="G49">
        <f t="shared" si="4"/>
        <v>387.6</v>
      </c>
      <c r="H49" t="s">
        <v>20</v>
      </c>
      <c r="I49">
        <v>550</v>
      </c>
      <c r="J49">
        <v>490</v>
      </c>
      <c r="K49">
        <v>0.13200000000000001</v>
      </c>
      <c r="L49">
        <v>35.299999999999997</v>
      </c>
      <c r="M49">
        <v>8.83</v>
      </c>
      <c r="N49" t="s">
        <v>21</v>
      </c>
      <c r="O49">
        <f t="shared" si="5"/>
        <v>300</v>
      </c>
      <c r="P49">
        <v>40.54</v>
      </c>
      <c r="Q49">
        <v>30</v>
      </c>
      <c r="R49">
        <v>7</v>
      </c>
      <c r="S49">
        <v>0.59150000000000003</v>
      </c>
    </row>
    <row r="50" spans="1:19" x14ac:dyDescent="0.25">
      <c r="A50">
        <v>1001</v>
      </c>
      <c r="B50">
        <v>3</v>
      </c>
      <c r="C50" t="s">
        <v>19</v>
      </c>
      <c r="D50">
        <v>4.95</v>
      </c>
      <c r="E50">
        <v>31.7</v>
      </c>
      <c r="F50">
        <f t="shared" si="3"/>
        <v>170</v>
      </c>
      <c r="G50">
        <f t="shared" si="4"/>
        <v>387.6</v>
      </c>
      <c r="H50" t="s">
        <v>20</v>
      </c>
      <c r="I50">
        <v>550</v>
      </c>
      <c r="J50">
        <v>490</v>
      </c>
      <c r="K50">
        <v>0.13200000000000001</v>
      </c>
      <c r="L50">
        <v>35.299999999999997</v>
      </c>
      <c r="M50">
        <v>8.83</v>
      </c>
      <c r="N50" t="s">
        <v>21</v>
      </c>
      <c r="O50">
        <f t="shared" si="5"/>
        <v>300</v>
      </c>
      <c r="P50">
        <v>40.54</v>
      </c>
      <c r="Q50">
        <v>45</v>
      </c>
      <c r="R50">
        <v>1</v>
      </c>
      <c r="S50">
        <v>0.1623</v>
      </c>
    </row>
    <row r="51" spans="1:19" x14ac:dyDescent="0.25">
      <c r="A51">
        <v>1001</v>
      </c>
      <c r="B51">
        <v>3</v>
      </c>
      <c r="C51" t="s">
        <v>19</v>
      </c>
      <c r="D51">
        <v>4.95</v>
      </c>
      <c r="E51">
        <v>31.7</v>
      </c>
      <c r="F51">
        <f t="shared" si="3"/>
        <v>170</v>
      </c>
      <c r="G51">
        <f t="shared" si="4"/>
        <v>387.6</v>
      </c>
      <c r="H51" t="s">
        <v>20</v>
      </c>
      <c r="I51">
        <v>550</v>
      </c>
      <c r="J51">
        <v>490</v>
      </c>
      <c r="K51">
        <v>0.13200000000000001</v>
      </c>
      <c r="L51">
        <v>35.299999999999997</v>
      </c>
      <c r="M51">
        <v>8.83</v>
      </c>
      <c r="N51" t="s">
        <v>21</v>
      </c>
      <c r="O51">
        <f t="shared" si="5"/>
        <v>300</v>
      </c>
      <c r="P51">
        <v>40.54</v>
      </c>
      <c r="Q51">
        <v>45</v>
      </c>
      <c r="R51">
        <v>3</v>
      </c>
      <c r="S51">
        <v>0.28839999999999999</v>
      </c>
    </row>
    <row r="52" spans="1:19" x14ac:dyDescent="0.25">
      <c r="A52">
        <v>1001</v>
      </c>
      <c r="B52">
        <v>3</v>
      </c>
      <c r="C52" t="s">
        <v>19</v>
      </c>
      <c r="D52">
        <v>4.95</v>
      </c>
      <c r="E52">
        <v>31.7</v>
      </c>
      <c r="F52">
        <f t="shared" si="3"/>
        <v>170</v>
      </c>
      <c r="G52">
        <f t="shared" si="4"/>
        <v>387.6</v>
      </c>
      <c r="H52" t="s">
        <v>20</v>
      </c>
      <c r="I52">
        <v>550</v>
      </c>
      <c r="J52">
        <v>490</v>
      </c>
      <c r="K52">
        <v>0.13200000000000001</v>
      </c>
      <c r="L52">
        <v>35.299999999999997</v>
      </c>
      <c r="M52">
        <v>8.83</v>
      </c>
      <c r="N52" t="s">
        <v>21</v>
      </c>
      <c r="O52">
        <f t="shared" si="5"/>
        <v>300</v>
      </c>
      <c r="P52">
        <v>40.54</v>
      </c>
      <c r="Q52">
        <v>45</v>
      </c>
      <c r="R52">
        <v>5</v>
      </c>
      <c r="S52">
        <v>0.37730000000000002</v>
      </c>
    </row>
    <row r="53" spans="1:19" x14ac:dyDescent="0.25">
      <c r="A53">
        <v>1001</v>
      </c>
      <c r="B53">
        <v>3</v>
      </c>
      <c r="C53" t="s">
        <v>19</v>
      </c>
      <c r="D53">
        <v>4.95</v>
      </c>
      <c r="E53">
        <v>31.7</v>
      </c>
      <c r="F53">
        <f t="shared" si="3"/>
        <v>170</v>
      </c>
      <c r="G53">
        <f t="shared" si="4"/>
        <v>387.6</v>
      </c>
      <c r="H53" t="s">
        <v>20</v>
      </c>
      <c r="I53">
        <v>550</v>
      </c>
      <c r="J53">
        <v>490</v>
      </c>
      <c r="K53">
        <v>0.13200000000000001</v>
      </c>
      <c r="L53">
        <v>35.299999999999997</v>
      </c>
      <c r="M53">
        <v>8.83</v>
      </c>
      <c r="N53" t="s">
        <v>21</v>
      </c>
      <c r="O53">
        <f t="shared" si="5"/>
        <v>300</v>
      </c>
      <c r="P53">
        <v>40.54</v>
      </c>
      <c r="Q53">
        <v>45</v>
      </c>
      <c r="R53">
        <v>7</v>
      </c>
      <c r="S53">
        <v>0.44869999999999999</v>
      </c>
    </row>
    <row r="54" spans="1:19" x14ac:dyDescent="0.25">
      <c r="A54">
        <v>1001</v>
      </c>
      <c r="B54">
        <v>4</v>
      </c>
      <c r="C54" t="s">
        <v>19</v>
      </c>
      <c r="D54">
        <v>4.95</v>
      </c>
      <c r="E54">
        <v>31.7</v>
      </c>
      <c r="F54">
        <f t="shared" si="3"/>
        <v>170</v>
      </c>
      <c r="G54">
        <f t="shared" si="4"/>
        <v>387.6</v>
      </c>
      <c r="H54" t="s">
        <v>20</v>
      </c>
      <c r="I54">
        <v>550</v>
      </c>
      <c r="J54">
        <v>490</v>
      </c>
      <c r="K54">
        <v>0.13200000000000001</v>
      </c>
      <c r="L54">
        <v>35.299999999999997</v>
      </c>
      <c r="M54">
        <v>8.4499999999999993</v>
      </c>
      <c r="N54" t="s">
        <v>21</v>
      </c>
      <c r="O54">
        <v>300</v>
      </c>
      <c r="P54">
        <v>40.54</v>
      </c>
      <c r="Q54">
        <v>30</v>
      </c>
      <c r="R54">
        <v>1</v>
      </c>
      <c r="S54">
        <v>0.1263</v>
      </c>
    </row>
    <row r="55" spans="1:19" x14ac:dyDescent="0.25">
      <c r="A55">
        <v>1001</v>
      </c>
      <c r="B55">
        <v>4</v>
      </c>
      <c r="C55" t="s">
        <v>19</v>
      </c>
      <c r="D55">
        <v>4.95</v>
      </c>
      <c r="E55">
        <v>31.7</v>
      </c>
      <c r="F55">
        <f t="shared" si="3"/>
        <v>170</v>
      </c>
      <c r="G55">
        <f t="shared" si="4"/>
        <v>387.6</v>
      </c>
      <c r="H55" t="s">
        <v>20</v>
      </c>
      <c r="I55">
        <v>550</v>
      </c>
      <c r="J55">
        <v>490</v>
      </c>
      <c r="K55">
        <v>0.13200000000000001</v>
      </c>
      <c r="L55">
        <v>35.299999999999997</v>
      </c>
      <c r="M55">
        <v>7.67</v>
      </c>
      <c r="N55" t="s">
        <v>21</v>
      </c>
      <c r="O55">
        <f>O54</f>
        <v>300</v>
      </c>
      <c r="P55">
        <v>40.54</v>
      </c>
      <c r="Q55">
        <v>30</v>
      </c>
      <c r="R55">
        <v>3</v>
      </c>
      <c r="S55">
        <v>0.1366</v>
      </c>
    </row>
    <row r="56" spans="1:19" x14ac:dyDescent="0.25">
      <c r="A56">
        <v>1001</v>
      </c>
      <c r="B56">
        <v>4</v>
      </c>
      <c r="C56" t="s">
        <v>19</v>
      </c>
      <c r="D56">
        <v>4.95</v>
      </c>
      <c r="E56">
        <v>31.7</v>
      </c>
      <c r="F56">
        <f t="shared" si="3"/>
        <v>170</v>
      </c>
      <c r="G56">
        <f t="shared" si="4"/>
        <v>387.6</v>
      </c>
      <c r="H56" t="s">
        <v>20</v>
      </c>
      <c r="I56">
        <v>550</v>
      </c>
      <c r="J56">
        <v>490</v>
      </c>
      <c r="K56">
        <v>0.13200000000000001</v>
      </c>
      <c r="L56">
        <v>35.299999999999997</v>
      </c>
      <c r="M56">
        <v>7.29</v>
      </c>
      <c r="N56" t="s">
        <v>21</v>
      </c>
      <c r="O56">
        <f t="shared" ref="O56:O65" si="6">O55</f>
        <v>300</v>
      </c>
      <c r="P56">
        <v>40.54</v>
      </c>
      <c r="Q56">
        <v>30</v>
      </c>
      <c r="R56">
        <v>5</v>
      </c>
      <c r="S56">
        <v>0.31709999999999999</v>
      </c>
    </row>
    <row r="57" spans="1:19" x14ac:dyDescent="0.25">
      <c r="A57">
        <v>1001</v>
      </c>
      <c r="B57">
        <v>4</v>
      </c>
      <c r="C57" t="s">
        <v>19</v>
      </c>
      <c r="D57">
        <v>4.95</v>
      </c>
      <c r="E57">
        <v>31.7</v>
      </c>
      <c r="F57">
        <f t="shared" si="3"/>
        <v>170</v>
      </c>
      <c r="G57">
        <f t="shared" si="4"/>
        <v>387.6</v>
      </c>
      <c r="H57" t="s">
        <v>20</v>
      </c>
      <c r="I57">
        <v>550</v>
      </c>
      <c r="J57">
        <v>490</v>
      </c>
      <c r="K57">
        <v>0.13200000000000001</v>
      </c>
      <c r="L57">
        <v>35.299999999999997</v>
      </c>
      <c r="M57">
        <v>7.16</v>
      </c>
      <c r="N57" t="s">
        <v>21</v>
      </c>
      <c r="O57">
        <f t="shared" si="6"/>
        <v>300</v>
      </c>
      <c r="P57">
        <v>40.54</v>
      </c>
      <c r="Q57">
        <v>30</v>
      </c>
      <c r="R57">
        <v>7</v>
      </c>
      <c r="S57">
        <v>0.80269999999999997</v>
      </c>
    </row>
    <row r="58" spans="1:19" x14ac:dyDescent="0.25">
      <c r="A58">
        <v>1001</v>
      </c>
      <c r="B58">
        <v>4</v>
      </c>
      <c r="C58" t="s">
        <v>19</v>
      </c>
      <c r="D58">
        <v>4.95</v>
      </c>
      <c r="E58">
        <v>31.7</v>
      </c>
      <c r="F58">
        <f t="shared" si="3"/>
        <v>170</v>
      </c>
      <c r="G58">
        <f t="shared" si="4"/>
        <v>387.6</v>
      </c>
      <c r="H58" t="s">
        <v>20</v>
      </c>
      <c r="I58">
        <v>550</v>
      </c>
      <c r="J58">
        <v>490</v>
      </c>
      <c r="K58">
        <v>0.13200000000000001</v>
      </c>
      <c r="L58">
        <v>35.299999999999997</v>
      </c>
      <c r="M58">
        <v>8.2899999999999991</v>
      </c>
      <c r="N58" t="s">
        <v>21</v>
      </c>
      <c r="O58">
        <f t="shared" si="6"/>
        <v>300</v>
      </c>
      <c r="P58">
        <v>40.54</v>
      </c>
      <c r="Q58">
        <v>30</v>
      </c>
      <c r="R58">
        <v>1</v>
      </c>
      <c r="S58">
        <v>0.8659</v>
      </c>
    </row>
    <row r="59" spans="1:19" x14ac:dyDescent="0.25">
      <c r="A59">
        <v>1001</v>
      </c>
      <c r="B59">
        <v>4</v>
      </c>
      <c r="C59" t="s">
        <v>19</v>
      </c>
      <c r="D59">
        <v>4.95</v>
      </c>
      <c r="E59">
        <v>31.7</v>
      </c>
      <c r="F59">
        <f t="shared" si="3"/>
        <v>170</v>
      </c>
      <c r="G59">
        <f t="shared" si="4"/>
        <v>387.6</v>
      </c>
      <c r="H59" t="s">
        <v>20</v>
      </c>
      <c r="I59">
        <v>550</v>
      </c>
      <c r="J59">
        <v>490</v>
      </c>
      <c r="K59">
        <v>0.13200000000000001</v>
      </c>
      <c r="L59">
        <v>35.299999999999997</v>
      </c>
      <c r="M59">
        <v>7.75</v>
      </c>
      <c r="N59" t="s">
        <v>21</v>
      </c>
      <c r="O59">
        <f t="shared" si="6"/>
        <v>300</v>
      </c>
      <c r="P59">
        <v>40.54</v>
      </c>
      <c r="Q59">
        <v>30</v>
      </c>
      <c r="R59">
        <v>3</v>
      </c>
      <c r="S59">
        <v>0.8952</v>
      </c>
    </row>
    <row r="60" spans="1:19" x14ac:dyDescent="0.25">
      <c r="A60">
        <v>1001</v>
      </c>
      <c r="B60">
        <v>4</v>
      </c>
      <c r="C60" t="s">
        <v>19</v>
      </c>
      <c r="D60">
        <v>4.95</v>
      </c>
      <c r="E60">
        <v>31.7</v>
      </c>
      <c r="F60">
        <f t="shared" si="3"/>
        <v>170</v>
      </c>
      <c r="G60">
        <f t="shared" si="4"/>
        <v>387.6</v>
      </c>
      <c r="H60" t="s">
        <v>20</v>
      </c>
      <c r="I60">
        <v>550</v>
      </c>
      <c r="J60">
        <v>490</v>
      </c>
      <c r="K60">
        <v>0.13200000000000001</v>
      </c>
      <c r="L60">
        <v>35.299999999999997</v>
      </c>
      <c r="M60">
        <v>7.21</v>
      </c>
      <c r="N60" t="s">
        <v>21</v>
      </c>
      <c r="O60">
        <f t="shared" si="6"/>
        <v>300</v>
      </c>
      <c r="P60">
        <v>40.54</v>
      </c>
      <c r="Q60">
        <v>30</v>
      </c>
      <c r="R60">
        <v>5</v>
      </c>
      <c r="S60">
        <v>0.91710000000000003</v>
      </c>
    </row>
    <row r="61" spans="1:19" x14ac:dyDescent="0.25">
      <c r="A61">
        <v>1001</v>
      </c>
      <c r="B61">
        <v>4</v>
      </c>
      <c r="C61" t="s">
        <v>19</v>
      </c>
      <c r="D61">
        <v>4.95</v>
      </c>
      <c r="E61">
        <v>31.7</v>
      </c>
      <c r="F61">
        <f t="shared" si="3"/>
        <v>170</v>
      </c>
      <c r="G61">
        <f t="shared" si="4"/>
        <v>387.6</v>
      </c>
      <c r="H61" t="s">
        <v>20</v>
      </c>
      <c r="I61">
        <v>550</v>
      </c>
      <c r="J61">
        <v>490</v>
      </c>
      <c r="K61">
        <v>0.13200000000000001</v>
      </c>
      <c r="L61">
        <v>35.299999999999997</v>
      </c>
      <c r="M61">
        <v>7.21</v>
      </c>
      <c r="N61" t="s">
        <v>21</v>
      </c>
      <c r="O61">
        <f t="shared" si="6"/>
        <v>300</v>
      </c>
      <c r="P61">
        <v>40.54</v>
      </c>
      <c r="Q61">
        <v>30</v>
      </c>
      <c r="R61">
        <v>7</v>
      </c>
      <c r="S61">
        <v>0.93179999999999996</v>
      </c>
    </row>
    <row r="62" spans="1:19" x14ac:dyDescent="0.25">
      <c r="A62">
        <v>1001</v>
      </c>
      <c r="B62">
        <v>4</v>
      </c>
      <c r="C62" t="s">
        <v>19</v>
      </c>
      <c r="D62">
        <v>4.95</v>
      </c>
      <c r="E62">
        <v>31.7</v>
      </c>
      <c r="F62">
        <f t="shared" si="3"/>
        <v>170</v>
      </c>
      <c r="G62">
        <f t="shared" si="4"/>
        <v>387.6</v>
      </c>
      <c r="H62" t="s">
        <v>20</v>
      </c>
      <c r="I62">
        <v>550</v>
      </c>
      <c r="J62">
        <v>490</v>
      </c>
      <c r="K62">
        <v>0.13200000000000001</v>
      </c>
      <c r="L62">
        <v>35.299999999999997</v>
      </c>
      <c r="M62">
        <v>8.42</v>
      </c>
      <c r="N62" t="s">
        <v>21</v>
      </c>
      <c r="O62">
        <f t="shared" si="6"/>
        <v>300</v>
      </c>
      <c r="P62">
        <v>40.54</v>
      </c>
      <c r="Q62">
        <v>30</v>
      </c>
      <c r="R62">
        <v>1</v>
      </c>
      <c r="S62">
        <v>0.37080000000000002</v>
      </c>
    </row>
    <row r="63" spans="1:19" x14ac:dyDescent="0.25">
      <c r="A63">
        <v>1001</v>
      </c>
      <c r="B63">
        <v>4</v>
      </c>
      <c r="C63" t="s">
        <v>19</v>
      </c>
      <c r="D63">
        <v>4.95</v>
      </c>
      <c r="E63">
        <v>31.7</v>
      </c>
      <c r="F63">
        <f t="shared" si="3"/>
        <v>170</v>
      </c>
      <c r="G63">
        <f t="shared" si="4"/>
        <v>387.6</v>
      </c>
      <c r="H63" t="s">
        <v>20</v>
      </c>
      <c r="I63">
        <v>550</v>
      </c>
      <c r="J63">
        <v>490</v>
      </c>
      <c r="K63">
        <v>0.13200000000000001</v>
      </c>
      <c r="L63">
        <v>35.299999999999997</v>
      </c>
      <c r="M63">
        <v>7.62</v>
      </c>
      <c r="N63" t="s">
        <v>21</v>
      </c>
      <c r="O63">
        <f t="shared" si="6"/>
        <v>300</v>
      </c>
      <c r="P63">
        <v>40.54</v>
      </c>
      <c r="Q63">
        <v>30</v>
      </c>
      <c r="R63">
        <v>3</v>
      </c>
      <c r="S63">
        <v>0.42930000000000001</v>
      </c>
    </row>
    <row r="64" spans="1:19" x14ac:dyDescent="0.25">
      <c r="A64">
        <v>1001</v>
      </c>
      <c r="B64">
        <v>4</v>
      </c>
      <c r="C64" t="s">
        <v>19</v>
      </c>
      <c r="D64">
        <v>4.95</v>
      </c>
      <c r="E64">
        <v>31.7</v>
      </c>
      <c r="F64">
        <f t="shared" si="3"/>
        <v>170</v>
      </c>
      <c r="G64">
        <f t="shared" si="4"/>
        <v>387.6</v>
      </c>
      <c r="H64" t="s">
        <v>20</v>
      </c>
      <c r="I64">
        <v>550</v>
      </c>
      <c r="J64">
        <v>490</v>
      </c>
      <c r="K64">
        <v>0.13200000000000001</v>
      </c>
      <c r="L64">
        <v>35.299999999999997</v>
      </c>
      <c r="M64">
        <v>7.29</v>
      </c>
      <c r="N64" t="s">
        <v>21</v>
      </c>
      <c r="O64">
        <f t="shared" si="6"/>
        <v>300</v>
      </c>
      <c r="P64">
        <v>40.54</v>
      </c>
      <c r="Q64">
        <v>30</v>
      </c>
      <c r="R64">
        <v>5</v>
      </c>
      <c r="S64">
        <v>0.47810000000000002</v>
      </c>
    </row>
    <row r="65" spans="1:19" x14ac:dyDescent="0.25">
      <c r="A65">
        <v>1001</v>
      </c>
      <c r="B65">
        <v>4</v>
      </c>
      <c r="C65" t="s">
        <v>19</v>
      </c>
      <c r="D65">
        <v>4.95</v>
      </c>
      <c r="E65">
        <v>31.7</v>
      </c>
      <c r="F65">
        <f t="shared" si="3"/>
        <v>170</v>
      </c>
      <c r="G65">
        <f t="shared" si="4"/>
        <v>387.6</v>
      </c>
      <c r="H65" t="s">
        <v>20</v>
      </c>
      <c r="I65">
        <v>550</v>
      </c>
      <c r="J65">
        <v>490</v>
      </c>
      <c r="K65">
        <v>0.13200000000000001</v>
      </c>
      <c r="L65">
        <v>35.299999999999997</v>
      </c>
      <c r="M65">
        <v>7.46</v>
      </c>
      <c r="N65" t="s">
        <v>21</v>
      </c>
      <c r="O65">
        <f t="shared" si="6"/>
        <v>300</v>
      </c>
      <c r="P65">
        <v>40.54</v>
      </c>
      <c r="Q65">
        <v>30</v>
      </c>
      <c r="R65">
        <v>7</v>
      </c>
      <c r="S65">
        <v>0.64149999999999996</v>
      </c>
    </row>
    <row r="66" spans="1:19" x14ac:dyDescent="0.25">
      <c r="A66">
        <v>1002</v>
      </c>
      <c r="B66">
        <v>1</v>
      </c>
      <c r="C66" t="s">
        <v>19</v>
      </c>
      <c r="D66">
        <v>4.95</v>
      </c>
      <c r="E66">
        <v>31.7</v>
      </c>
      <c r="F66">
        <f t="shared" si="3"/>
        <v>170</v>
      </c>
      <c r="G66">
        <f t="shared" si="4"/>
        <v>387.6</v>
      </c>
      <c r="H66" t="s">
        <v>20</v>
      </c>
      <c r="I66">
        <v>30</v>
      </c>
      <c r="J66">
        <v>300</v>
      </c>
      <c r="K66">
        <v>0.13</v>
      </c>
      <c r="L66">
        <v>2</v>
      </c>
      <c r="M66">
        <v>8.1999999999999993</v>
      </c>
      <c r="N66" t="s">
        <v>21</v>
      </c>
      <c r="O66">
        <v>17.5</v>
      </c>
      <c r="P66">
        <v>807</v>
      </c>
      <c r="Q66">
        <v>25</v>
      </c>
      <c r="R66">
        <v>21</v>
      </c>
      <c r="S66">
        <v>0.95199999999999996</v>
      </c>
    </row>
    <row r="67" spans="1:19" x14ac:dyDescent="0.25">
      <c r="A67">
        <v>1002</v>
      </c>
      <c r="B67">
        <v>1</v>
      </c>
      <c r="C67" t="s">
        <v>19</v>
      </c>
      <c r="D67">
        <v>4.95</v>
      </c>
      <c r="E67">
        <v>31.7</v>
      </c>
      <c r="F67">
        <f t="shared" si="3"/>
        <v>170</v>
      </c>
      <c r="G67">
        <f t="shared" si="4"/>
        <v>387.6</v>
      </c>
      <c r="H67" t="s">
        <v>20</v>
      </c>
      <c r="I67">
        <f t="shared" ref="I67:I81" si="7">I66</f>
        <v>30</v>
      </c>
      <c r="J67">
        <f>J66</f>
        <v>300</v>
      </c>
      <c r="K67">
        <v>0.13</v>
      </c>
      <c r="L67">
        <v>2</v>
      </c>
      <c r="M67">
        <v>8.1999999999999993</v>
      </c>
      <c r="N67" t="s">
        <v>21</v>
      </c>
      <c r="O67">
        <v>17.5</v>
      </c>
      <c r="P67">
        <v>807</v>
      </c>
      <c r="Q67">
        <v>25</v>
      </c>
      <c r="R67">
        <v>21</v>
      </c>
      <c r="S67">
        <v>0.96299999999999997</v>
      </c>
    </row>
    <row r="68" spans="1:19" x14ac:dyDescent="0.25">
      <c r="A68">
        <v>1002</v>
      </c>
      <c r="B68">
        <v>1</v>
      </c>
      <c r="C68" t="s">
        <v>19</v>
      </c>
      <c r="D68">
        <v>4.95</v>
      </c>
      <c r="E68">
        <v>31.7</v>
      </c>
      <c r="F68">
        <f t="shared" ref="F68:F83" si="8">F67</f>
        <v>170</v>
      </c>
      <c r="G68">
        <f t="shared" ref="G68:G83" si="9">G67</f>
        <v>387.6</v>
      </c>
      <c r="H68" t="s">
        <v>20</v>
      </c>
      <c r="I68">
        <f t="shared" si="7"/>
        <v>30</v>
      </c>
      <c r="J68">
        <f t="shared" ref="J68:J81" si="10">J67</f>
        <v>300</v>
      </c>
      <c r="K68">
        <v>0.13</v>
      </c>
      <c r="L68">
        <v>2</v>
      </c>
      <c r="M68">
        <v>8.1999999999999993</v>
      </c>
      <c r="N68" t="s">
        <v>21</v>
      </c>
      <c r="O68">
        <v>17.5</v>
      </c>
      <c r="P68">
        <v>807</v>
      </c>
      <c r="Q68">
        <v>25</v>
      </c>
      <c r="R68">
        <v>21</v>
      </c>
      <c r="S68">
        <v>0.97599999999999998</v>
      </c>
    </row>
    <row r="69" spans="1:19" x14ac:dyDescent="0.25">
      <c r="A69">
        <v>1002</v>
      </c>
      <c r="B69">
        <v>1</v>
      </c>
      <c r="C69" t="s">
        <v>19</v>
      </c>
      <c r="D69">
        <v>4.95</v>
      </c>
      <c r="E69">
        <v>31.7</v>
      </c>
      <c r="F69">
        <f t="shared" si="8"/>
        <v>170</v>
      </c>
      <c r="G69">
        <f t="shared" si="9"/>
        <v>387.6</v>
      </c>
      <c r="H69" t="s">
        <v>20</v>
      </c>
      <c r="I69">
        <f t="shared" si="7"/>
        <v>30</v>
      </c>
      <c r="J69">
        <f t="shared" si="10"/>
        <v>300</v>
      </c>
      <c r="K69">
        <v>0.13</v>
      </c>
      <c r="L69">
        <v>2</v>
      </c>
      <c r="M69">
        <v>8.1999999999999993</v>
      </c>
      <c r="N69" t="s">
        <v>21</v>
      </c>
      <c r="O69">
        <v>17.5</v>
      </c>
      <c r="P69">
        <v>807</v>
      </c>
      <c r="Q69">
        <v>25</v>
      </c>
      <c r="R69">
        <v>21</v>
      </c>
      <c r="S69">
        <v>0.95899999999999996</v>
      </c>
    </row>
    <row r="70" spans="1:19" x14ac:dyDescent="0.25">
      <c r="A70">
        <v>1002</v>
      </c>
      <c r="B70">
        <v>2</v>
      </c>
      <c r="C70" t="s">
        <v>19</v>
      </c>
      <c r="D70">
        <v>4.95</v>
      </c>
      <c r="E70">
        <v>31.7</v>
      </c>
      <c r="F70">
        <f t="shared" si="8"/>
        <v>170</v>
      </c>
      <c r="G70">
        <f t="shared" si="9"/>
        <v>387.6</v>
      </c>
      <c r="H70" t="s">
        <v>20</v>
      </c>
      <c r="I70">
        <f t="shared" si="7"/>
        <v>30</v>
      </c>
      <c r="J70">
        <f t="shared" si="10"/>
        <v>300</v>
      </c>
      <c r="K70">
        <v>0.13</v>
      </c>
      <c r="L70">
        <v>2</v>
      </c>
      <c r="M70">
        <v>8.1999999999999993</v>
      </c>
      <c r="N70" t="s">
        <v>21</v>
      </c>
      <c r="O70">
        <v>17.5</v>
      </c>
      <c r="P70">
        <v>4838.7</v>
      </c>
      <c r="Q70">
        <v>25</v>
      </c>
      <c r="R70">
        <v>21</v>
      </c>
      <c r="S70">
        <v>0.35099999999999998</v>
      </c>
    </row>
    <row r="71" spans="1:19" x14ac:dyDescent="0.25">
      <c r="A71">
        <v>1002</v>
      </c>
      <c r="B71">
        <v>2</v>
      </c>
      <c r="C71" t="s">
        <v>19</v>
      </c>
      <c r="D71">
        <v>4.95</v>
      </c>
      <c r="E71">
        <v>31.7</v>
      </c>
      <c r="F71">
        <f t="shared" si="8"/>
        <v>170</v>
      </c>
      <c r="G71">
        <f t="shared" si="9"/>
        <v>387.6</v>
      </c>
      <c r="H71" t="s">
        <v>20</v>
      </c>
      <c r="I71">
        <f t="shared" si="7"/>
        <v>30</v>
      </c>
      <c r="J71">
        <f t="shared" si="10"/>
        <v>300</v>
      </c>
      <c r="K71">
        <v>0.13</v>
      </c>
      <c r="L71">
        <v>2</v>
      </c>
      <c r="M71">
        <v>8.1999999999999993</v>
      </c>
      <c r="N71" t="s">
        <v>21</v>
      </c>
      <c r="O71">
        <v>17.5</v>
      </c>
      <c r="P71">
        <v>4838.7</v>
      </c>
      <c r="Q71">
        <v>25</v>
      </c>
      <c r="R71">
        <v>21</v>
      </c>
      <c r="S71">
        <v>0.50600000000000001</v>
      </c>
    </row>
    <row r="72" spans="1:19" x14ac:dyDescent="0.25">
      <c r="A72">
        <v>1002</v>
      </c>
      <c r="B72">
        <v>2</v>
      </c>
      <c r="C72" t="s">
        <v>19</v>
      </c>
      <c r="D72">
        <v>4.95</v>
      </c>
      <c r="E72">
        <v>31.7</v>
      </c>
      <c r="F72">
        <f t="shared" si="8"/>
        <v>170</v>
      </c>
      <c r="G72">
        <f t="shared" si="9"/>
        <v>387.6</v>
      </c>
      <c r="H72" t="s">
        <v>20</v>
      </c>
      <c r="I72">
        <f t="shared" si="7"/>
        <v>30</v>
      </c>
      <c r="J72">
        <f t="shared" si="10"/>
        <v>300</v>
      </c>
      <c r="K72">
        <v>0.13</v>
      </c>
      <c r="L72">
        <v>2</v>
      </c>
      <c r="M72">
        <v>8.1999999999999993</v>
      </c>
      <c r="N72" t="s">
        <v>21</v>
      </c>
      <c r="O72">
        <v>17.5</v>
      </c>
      <c r="P72">
        <v>4838.7</v>
      </c>
      <c r="Q72">
        <v>25</v>
      </c>
      <c r="R72">
        <v>21</v>
      </c>
      <c r="S72">
        <v>0.57199999999999995</v>
      </c>
    </row>
    <row r="73" spans="1:19" x14ac:dyDescent="0.25">
      <c r="A73">
        <v>1002</v>
      </c>
      <c r="B73">
        <v>2</v>
      </c>
      <c r="C73" t="s">
        <v>19</v>
      </c>
      <c r="D73">
        <v>4.95</v>
      </c>
      <c r="E73">
        <v>31.7</v>
      </c>
      <c r="F73">
        <f t="shared" si="8"/>
        <v>170</v>
      </c>
      <c r="G73">
        <f t="shared" si="9"/>
        <v>387.6</v>
      </c>
      <c r="H73" t="s">
        <v>20</v>
      </c>
      <c r="I73">
        <f t="shared" si="7"/>
        <v>30</v>
      </c>
      <c r="J73">
        <f t="shared" si="10"/>
        <v>300</v>
      </c>
      <c r="K73">
        <v>0.13</v>
      </c>
      <c r="L73">
        <v>2</v>
      </c>
      <c r="M73">
        <v>8.1999999999999993</v>
      </c>
      <c r="N73" t="s">
        <v>21</v>
      </c>
      <c r="O73">
        <v>17.5</v>
      </c>
      <c r="P73">
        <v>4838.7</v>
      </c>
      <c r="Q73">
        <v>25</v>
      </c>
      <c r="R73">
        <v>21</v>
      </c>
      <c r="S73">
        <v>0.61799999999999999</v>
      </c>
    </row>
    <row r="74" spans="1:19" x14ac:dyDescent="0.25">
      <c r="A74">
        <v>1002</v>
      </c>
      <c r="B74">
        <v>2</v>
      </c>
      <c r="C74" t="s">
        <v>19</v>
      </c>
      <c r="D74">
        <v>4.95</v>
      </c>
      <c r="E74">
        <v>31.7</v>
      </c>
      <c r="F74">
        <f t="shared" si="8"/>
        <v>170</v>
      </c>
      <c r="G74">
        <f t="shared" si="9"/>
        <v>387.6</v>
      </c>
      <c r="H74" t="s">
        <v>20</v>
      </c>
      <c r="I74">
        <f t="shared" si="7"/>
        <v>30</v>
      </c>
      <c r="J74">
        <f t="shared" si="10"/>
        <v>300</v>
      </c>
      <c r="K74">
        <v>0.13</v>
      </c>
      <c r="L74">
        <v>2</v>
      </c>
      <c r="M74">
        <v>8.1999999999999993</v>
      </c>
      <c r="N74" t="s">
        <v>21</v>
      </c>
      <c r="O74">
        <v>17.5</v>
      </c>
      <c r="P74">
        <v>4838.7</v>
      </c>
      <c r="Q74">
        <v>25</v>
      </c>
      <c r="R74">
        <v>21</v>
      </c>
      <c r="S74">
        <v>0.63800000000000001</v>
      </c>
    </row>
    <row r="75" spans="1:19" x14ac:dyDescent="0.25">
      <c r="A75">
        <v>1002</v>
      </c>
      <c r="B75">
        <v>2</v>
      </c>
      <c r="C75" t="s">
        <v>19</v>
      </c>
      <c r="D75">
        <v>4.95</v>
      </c>
      <c r="E75">
        <v>31.7</v>
      </c>
      <c r="F75">
        <f t="shared" si="8"/>
        <v>170</v>
      </c>
      <c r="G75">
        <f t="shared" si="9"/>
        <v>387.6</v>
      </c>
      <c r="H75" t="s">
        <v>20</v>
      </c>
      <c r="I75">
        <f t="shared" si="7"/>
        <v>30</v>
      </c>
      <c r="J75">
        <f t="shared" si="10"/>
        <v>300</v>
      </c>
      <c r="K75">
        <v>0.13</v>
      </c>
      <c r="L75">
        <v>2</v>
      </c>
      <c r="M75">
        <v>8.1999999999999993</v>
      </c>
      <c r="N75" t="s">
        <v>21</v>
      </c>
      <c r="O75">
        <v>17.5</v>
      </c>
      <c r="P75">
        <v>4838.7</v>
      </c>
      <c r="Q75">
        <v>25</v>
      </c>
      <c r="R75">
        <v>21</v>
      </c>
      <c r="S75">
        <v>0.628</v>
      </c>
    </row>
    <row r="76" spans="1:19" x14ac:dyDescent="0.25">
      <c r="A76">
        <v>1002</v>
      </c>
      <c r="B76">
        <v>3</v>
      </c>
      <c r="C76" t="s">
        <v>19</v>
      </c>
      <c r="D76">
        <v>4.95</v>
      </c>
      <c r="E76">
        <v>31.7</v>
      </c>
      <c r="F76">
        <f t="shared" si="8"/>
        <v>170</v>
      </c>
      <c r="G76">
        <f t="shared" si="9"/>
        <v>387.6</v>
      </c>
      <c r="H76" t="s">
        <v>20</v>
      </c>
      <c r="I76">
        <f t="shared" si="7"/>
        <v>30</v>
      </c>
      <c r="J76">
        <f t="shared" si="10"/>
        <v>300</v>
      </c>
      <c r="K76">
        <v>0.13</v>
      </c>
      <c r="L76">
        <v>2</v>
      </c>
      <c r="M76">
        <v>8.1999999999999993</v>
      </c>
      <c r="N76" t="s">
        <v>21</v>
      </c>
      <c r="O76">
        <v>17.5</v>
      </c>
      <c r="P76">
        <v>4838.7</v>
      </c>
      <c r="Q76">
        <v>18</v>
      </c>
      <c r="R76">
        <v>60</v>
      </c>
      <c r="S76">
        <v>0.42599999999999999</v>
      </c>
    </row>
    <row r="77" spans="1:19" x14ac:dyDescent="0.25">
      <c r="A77">
        <v>1002</v>
      </c>
      <c r="B77">
        <v>3</v>
      </c>
      <c r="C77" t="s">
        <v>19</v>
      </c>
      <c r="D77">
        <v>4.95</v>
      </c>
      <c r="E77">
        <v>31.7</v>
      </c>
      <c r="F77">
        <f t="shared" si="8"/>
        <v>170</v>
      </c>
      <c r="G77">
        <f t="shared" si="9"/>
        <v>387.6</v>
      </c>
      <c r="H77" t="s">
        <v>20</v>
      </c>
      <c r="I77">
        <f t="shared" si="7"/>
        <v>30</v>
      </c>
      <c r="J77">
        <f t="shared" si="10"/>
        <v>300</v>
      </c>
      <c r="K77">
        <v>0.13</v>
      </c>
      <c r="L77">
        <v>2</v>
      </c>
      <c r="M77">
        <v>8.1999999999999993</v>
      </c>
      <c r="N77" t="s">
        <v>21</v>
      </c>
      <c r="O77">
        <v>17.5</v>
      </c>
      <c r="P77">
        <v>4838.7</v>
      </c>
      <c r="Q77">
        <v>18</v>
      </c>
      <c r="R77">
        <v>60</v>
      </c>
      <c r="S77">
        <v>0.56200000000000006</v>
      </c>
    </row>
    <row r="78" spans="1:19" x14ac:dyDescent="0.25">
      <c r="A78">
        <v>1002</v>
      </c>
      <c r="B78">
        <v>3</v>
      </c>
      <c r="C78" t="s">
        <v>19</v>
      </c>
      <c r="D78">
        <v>4.95</v>
      </c>
      <c r="E78">
        <v>31.7</v>
      </c>
      <c r="F78">
        <f t="shared" si="8"/>
        <v>170</v>
      </c>
      <c r="G78">
        <f t="shared" si="9"/>
        <v>387.6</v>
      </c>
      <c r="H78" t="s">
        <v>20</v>
      </c>
      <c r="I78">
        <f t="shared" si="7"/>
        <v>30</v>
      </c>
      <c r="J78">
        <f t="shared" si="10"/>
        <v>300</v>
      </c>
      <c r="K78">
        <v>0.13</v>
      </c>
      <c r="L78">
        <v>2</v>
      </c>
      <c r="M78">
        <v>8.1999999999999993</v>
      </c>
      <c r="N78" t="s">
        <v>21</v>
      </c>
      <c r="O78">
        <v>17.5</v>
      </c>
      <c r="P78">
        <v>4838.7</v>
      </c>
      <c r="Q78">
        <v>18</v>
      </c>
      <c r="R78">
        <v>60</v>
      </c>
      <c r="S78">
        <v>0.78300000000000003</v>
      </c>
    </row>
    <row r="79" spans="1:19" x14ac:dyDescent="0.25">
      <c r="A79">
        <v>1002</v>
      </c>
      <c r="B79">
        <v>3</v>
      </c>
      <c r="C79" t="s">
        <v>19</v>
      </c>
      <c r="D79">
        <v>4.95</v>
      </c>
      <c r="E79">
        <v>31.7</v>
      </c>
      <c r="F79">
        <f t="shared" si="8"/>
        <v>170</v>
      </c>
      <c r="G79">
        <f t="shared" si="9"/>
        <v>387.6</v>
      </c>
      <c r="H79" t="s">
        <v>20</v>
      </c>
      <c r="I79">
        <f t="shared" si="7"/>
        <v>30</v>
      </c>
      <c r="J79">
        <f t="shared" si="10"/>
        <v>300</v>
      </c>
      <c r="K79">
        <v>0.13</v>
      </c>
      <c r="L79">
        <v>2</v>
      </c>
      <c r="M79">
        <v>8.1999999999999993</v>
      </c>
      <c r="N79" t="s">
        <v>21</v>
      </c>
      <c r="O79">
        <v>17.5</v>
      </c>
      <c r="P79">
        <v>4838.7</v>
      </c>
      <c r="Q79">
        <v>18</v>
      </c>
      <c r="R79">
        <v>60</v>
      </c>
      <c r="S79">
        <v>0.72599999999999998</v>
      </c>
    </row>
    <row r="80" spans="1:19" x14ac:dyDescent="0.25">
      <c r="A80">
        <v>1002</v>
      </c>
      <c r="B80">
        <v>3</v>
      </c>
      <c r="C80" t="s">
        <v>19</v>
      </c>
      <c r="D80">
        <v>4.95</v>
      </c>
      <c r="E80">
        <v>31.7</v>
      </c>
      <c r="F80">
        <f t="shared" si="8"/>
        <v>170</v>
      </c>
      <c r="G80">
        <f t="shared" si="9"/>
        <v>387.6</v>
      </c>
      <c r="H80" t="s">
        <v>20</v>
      </c>
      <c r="I80">
        <f t="shared" si="7"/>
        <v>30</v>
      </c>
      <c r="J80">
        <f t="shared" si="10"/>
        <v>300</v>
      </c>
      <c r="K80">
        <v>0.13</v>
      </c>
      <c r="L80">
        <v>2</v>
      </c>
      <c r="M80">
        <v>8.1999999999999993</v>
      </c>
      <c r="N80" t="s">
        <v>21</v>
      </c>
      <c r="O80">
        <v>17.5</v>
      </c>
      <c r="P80">
        <v>4838.7</v>
      </c>
      <c r="Q80">
        <v>18</v>
      </c>
      <c r="R80">
        <v>60</v>
      </c>
      <c r="S80">
        <v>0.746</v>
      </c>
    </row>
    <row r="81" spans="1:19" x14ac:dyDescent="0.25">
      <c r="A81">
        <v>1002</v>
      </c>
      <c r="B81">
        <v>3</v>
      </c>
      <c r="C81" t="s">
        <v>19</v>
      </c>
      <c r="D81">
        <v>4.95</v>
      </c>
      <c r="E81">
        <v>31.7</v>
      </c>
      <c r="F81">
        <f t="shared" si="8"/>
        <v>170</v>
      </c>
      <c r="G81">
        <f t="shared" si="9"/>
        <v>387.6</v>
      </c>
      <c r="H81" t="s">
        <v>20</v>
      </c>
      <c r="I81">
        <f t="shared" si="7"/>
        <v>30</v>
      </c>
      <c r="J81">
        <f t="shared" si="10"/>
        <v>300</v>
      </c>
      <c r="K81">
        <v>0.13</v>
      </c>
      <c r="L81">
        <v>2</v>
      </c>
      <c r="M81">
        <v>8.1999999999999993</v>
      </c>
      <c r="N81" t="s">
        <v>21</v>
      </c>
      <c r="O81">
        <v>17.5</v>
      </c>
      <c r="P81">
        <v>4838.7</v>
      </c>
      <c r="Q81">
        <v>18</v>
      </c>
      <c r="R81">
        <v>60</v>
      </c>
      <c r="S81">
        <v>0.77</v>
      </c>
    </row>
    <row r="82" spans="1:19" x14ac:dyDescent="0.25">
      <c r="A82">
        <v>1002</v>
      </c>
      <c r="B82">
        <v>4</v>
      </c>
      <c r="C82" t="s">
        <v>19</v>
      </c>
      <c r="D82">
        <v>4.95</v>
      </c>
      <c r="E82">
        <v>31.7</v>
      </c>
      <c r="F82">
        <f t="shared" si="8"/>
        <v>170</v>
      </c>
      <c r="G82">
        <f t="shared" si="9"/>
        <v>387.6</v>
      </c>
      <c r="H82" t="s">
        <v>20</v>
      </c>
      <c r="J82">
        <v>300</v>
      </c>
      <c r="K82">
        <v>0.13</v>
      </c>
      <c r="L82">
        <v>2</v>
      </c>
      <c r="M82">
        <v>8.1999999999999993</v>
      </c>
      <c r="N82" t="s">
        <v>21</v>
      </c>
      <c r="O82">
        <v>17.5</v>
      </c>
      <c r="P82">
        <v>637.79999999999995</v>
      </c>
      <c r="Q82">
        <v>13.7</v>
      </c>
      <c r="R82">
        <v>48</v>
      </c>
      <c r="S82">
        <v>0.72</v>
      </c>
    </row>
    <row r="83" spans="1:19" x14ac:dyDescent="0.25">
      <c r="A83">
        <v>1002</v>
      </c>
      <c r="B83">
        <v>4</v>
      </c>
      <c r="C83" t="s">
        <v>19</v>
      </c>
      <c r="D83">
        <v>4.95</v>
      </c>
      <c r="E83">
        <v>31.7</v>
      </c>
      <c r="F83">
        <f t="shared" si="8"/>
        <v>170</v>
      </c>
      <c r="G83">
        <f t="shared" si="9"/>
        <v>387.6</v>
      </c>
      <c r="H83" t="s">
        <v>20</v>
      </c>
      <c r="J83">
        <v>300</v>
      </c>
      <c r="K83">
        <v>0.13</v>
      </c>
      <c r="L83">
        <v>2</v>
      </c>
      <c r="M83">
        <v>8.1999999999999993</v>
      </c>
      <c r="N83" t="s">
        <v>21</v>
      </c>
      <c r="O83">
        <v>17.5</v>
      </c>
      <c r="P83">
        <v>637.79999999999995</v>
      </c>
      <c r="Q83">
        <v>13.7</v>
      </c>
      <c r="R83">
        <v>161</v>
      </c>
      <c r="S83">
        <v>0.94399999999999995</v>
      </c>
    </row>
    <row r="84" spans="1:19" x14ac:dyDescent="0.25">
      <c r="A84">
        <v>1003</v>
      </c>
      <c r="B84">
        <v>1</v>
      </c>
      <c r="C84" t="s">
        <v>19</v>
      </c>
      <c r="D84">
        <v>4.95</v>
      </c>
      <c r="E84">
        <v>31.7</v>
      </c>
      <c r="F84">
        <v>171</v>
      </c>
      <c r="G84">
        <v>412.1</v>
      </c>
      <c r="H84" t="s">
        <v>20</v>
      </c>
      <c r="I84" t="s">
        <v>22</v>
      </c>
      <c r="J84" t="s">
        <v>22</v>
      </c>
      <c r="K84" t="s">
        <v>22</v>
      </c>
      <c r="M84">
        <v>7.6</v>
      </c>
      <c r="N84" t="s">
        <v>23</v>
      </c>
      <c r="O84" t="s">
        <v>22</v>
      </c>
      <c r="P84">
        <v>2.5158100000000001</v>
      </c>
      <c r="Q84">
        <v>25</v>
      </c>
      <c r="R84">
        <v>45</v>
      </c>
      <c r="S84">
        <v>0.16300000000000001</v>
      </c>
    </row>
    <row r="85" spans="1:19" x14ac:dyDescent="0.25">
      <c r="A85">
        <v>1003</v>
      </c>
      <c r="B85">
        <v>1</v>
      </c>
      <c r="C85" t="s">
        <v>19</v>
      </c>
      <c r="D85">
        <v>4.95</v>
      </c>
      <c r="E85">
        <v>31.7</v>
      </c>
      <c r="F85">
        <f>F84</f>
        <v>171</v>
      </c>
      <c r="G85">
        <f>G84</f>
        <v>412.1</v>
      </c>
      <c r="H85" t="str">
        <f>H84</f>
        <v>壤土</v>
      </c>
      <c r="I85" t="s">
        <v>22</v>
      </c>
      <c r="J85" t="s">
        <v>22</v>
      </c>
      <c r="K85" t="s">
        <v>22</v>
      </c>
      <c r="M85">
        <v>7.6</v>
      </c>
      <c r="N85" t="s">
        <v>23</v>
      </c>
      <c r="O85" t="s">
        <v>22</v>
      </c>
      <c r="P85">
        <v>2.5158100000000001</v>
      </c>
      <c r="Q85">
        <v>25</v>
      </c>
      <c r="R85">
        <v>68</v>
      </c>
      <c r="S85">
        <v>0.40439999999999998</v>
      </c>
    </row>
    <row r="86" spans="1:19" x14ac:dyDescent="0.25">
      <c r="A86">
        <v>1003</v>
      </c>
      <c r="B86">
        <v>1</v>
      </c>
      <c r="C86" t="s">
        <v>19</v>
      </c>
      <c r="D86">
        <v>4.95</v>
      </c>
      <c r="E86">
        <v>31.7</v>
      </c>
      <c r="F86">
        <f t="shared" ref="F86:F100" si="11">F85</f>
        <v>171</v>
      </c>
      <c r="G86">
        <f t="shared" ref="G86:G100" si="12">G85</f>
        <v>412.1</v>
      </c>
      <c r="H86" t="str">
        <f>H85</f>
        <v>壤土</v>
      </c>
      <c r="I86" t="s">
        <v>22</v>
      </c>
      <c r="J86" t="s">
        <v>22</v>
      </c>
      <c r="K86" t="s">
        <v>22</v>
      </c>
      <c r="M86">
        <v>7.6</v>
      </c>
      <c r="N86" t="s">
        <v>23</v>
      </c>
      <c r="O86" t="s">
        <v>22</v>
      </c>
      <c r="P86">
        <v>2.5158100000000001</v>
      </c>
      <c r="Q86">
        <v>25</v>
      </c>
      <c r="R86">
        <v>128</v>
      </c>
      <c r="S86">
        <v>0.29020000000000001</v>
      </c>
    </row>
    <row r="87" spans="1:19" x14ac:dyDescent="0.25">
      <c r="A87">
        <v>1003</v>
      </c>
      <c r="B87">
        <v>1</v>
      </c>
      <c r="C87" t="s">
        <v>19</v>
      </c>
      <c r="D87">
        <v>4.95</v>
      </c>
      <c r="E87">
        <v>31.7</v>
      </c>
      <c r="F87">
        <f t="shared" si="11"/>
        <v>171</v>
      </c>
      <c r="G87">
        <f t="shared" si="12"/>
        <v>412.1</v>
      </c>
      <c r="H87" t="str">
        <f>H86</f>
        <v>壤土</v>
      </c>
      <c r="I87" t="s">
        <v>22</v>
      </c>
      <c r="J87" t="s">
        <v>22</v>
      </c>
      <c r="K87" t="s">
        <v>22</v>
      </c>
      <c r="M87">
        <v>7.6</v>
      </c>
      <c r="N87" t="s">
        <v>23</v>
      </c>
      <c r="O87" t="s">
        <v>22</v>
      </c>
      <c r="P87">
        <v>2.5158100000000001</v>
      </c>
      <c r="Q87">
        <v>25</v>
      </c>
      <c r="R87">
        <v>153</v>
      </c>
      <c r="S87">
        <v>0.4168</v>
      </c>
    </row>
    <row r="88" spans="1:19" x14ac:dyDescent="0.25">
      <c r="A88">
        <v>1003</v>
      </c>
      <c r="B88">
        <v>1</v>
      </c>
      <c r="C88" t="s">
        <v>19</v>
      </c>
      <c r="D88">
        <v>4.95</v>
      </c>
      <c r="E88">
        <v>31.7</v>
      </c>
      <c r="F88">
        <f t="shared" si="11"/>
        <v>171</v>
      </c>
      <c r="G88">
        <f t="shared" si="12"/>
        <v>412.1</v>
      </c>
      <c r="H88" t="str">
        <f>H87</f>
        <v>壤土</v>
      </c>
      <c r="I88" t="s">
        <v>22</v>
      </c>
      <c r="J88" t="s">
        <v>22</v>
      </c>
      <c r="K88" t="s">
        <v>22</v>
      </c>
      <c r="M88">
        <v>7.6</v>
      </c>
      <c r="N88" t="s">
        <v>23</v>
      </c>
      <c r="O88" t="s">
        <v>22</v>
      </c>
      <c r="P88">
        <v>2.5158100000000001</v>
      </c>
      <c r="Q88">
        <v>25</v>
      </c>
      <c r="R88">
        <v>183</v>
      </c>
      <c r="S88">
        <v>0.61780000000000002</v>
      </c>
    </row>
    <row r="89" spans="1:19" x14ac:dyDescent="0.25">
      <c r="A89">
        <v>1004</v>
      </c>
      <c r="B89">
        <v>1</v>
      </c>
      <c r="C89" t="s">
        <v>19</v>
      </c>
      <c r="D89">
        <v>4.95</v>
      </c>
      <c r="E89">
        <v>31.7</v>
      </c>
      <c r="F89">
        <f t="shared" si="11"/>
        <v>171</v>
      </c>
      <c r="G89">
        <f t="shared" si="12"/>
        <v>412.1</v>
      </c>
      <c r="H89" t="s">
        <v>24</v>
      </c>
      <c r="I89" t="s">
        <v>22</v>
      </c>
      <c r="J89">
        <v>620</v>
      </c>
      <c r="K89" t="s">
        <v>22</v>
      </c>
      <c r="L89">
        <v>47.9</v>
      </c>
      <c r="M89">
        <v>7.3</v>
      </c>
      <c r="N89" t="s">
        <v>23</v>
      </c>
      <c r="O89">
        <v>60</v>
      </c>
      <c r="P89">
        <v>100.3</v>
      </c>
      <c r="Q89">
        <v>38</v>
      </c>
      <c r="R89">
        <v>56</v>
      </c>
      <c r="S89">
        <v>0.61319999999999997</v>
      </c>
    </row>
    <row r="90" spans="1:19" x14ac:dyDescent="0.25">
      <c r="A90">
        <v>1004</v>
      </c>
      <c r="B90">
        <v>1</v>
      </c>
      <c r="C90" t="s">
        <v>19</v>
      </c>
      <c r="D90">
        <v>4.95</v>
      </c>
      <c r="E90">
        <v>31.7</v>
      </c>
      <c r="F90">
        <f t="shared" si="11"/>
        <v>171</v>
      </c>
      <c r="G90">
        <f t="shared" si="12"/>
        <v>412.1</v>
      </c>
      <c r="H90" t="str">
        <f>H89</f>
        <v>砂土</v>
      </c>
      <c r="I90" t="s">
        <v>22</v>
      </c>
      <c r="J90">
        <v>620</v>
      </c>
      <c r="K90" t="s">
        <v>22</v>
      </c>
      <c r="L90">
        <v>47.9</v>
      </c>
      <c r="M90">
        <v>7.3</v>
      </c>
      <c r="N90" t="s">
        <v>23</v>
      </c>
      <c r="O90">
        <v>60</v>
      </c>
      <c r="P90">
        <v>100.3</v>
      </c>
      <c r="Q90">
        <v>38</v>
      </c>
      <c r="R90">
        <v>56</v>
      </c>
      <c r="S90">
        <v>0.66200000000000003</v>
      </c>
    </row>
    <row r="91" spans="1:19" x14ac:dyDescent="0.25">
      <c r="A91">
        <v>1004</v>
      </c>
      <c r="B91">
        <v>1</v>
      </c>
      <c r="C91" t="s">
        <v>19</v>
      </c>
      <c r="D91">
        <v>4.95</v>
      </c>
      <c r="E91">
        <v>31.7</v>
      </c>
      <c r="F91">
        <f t="shared" si="11"/>
        <v>171</v>
      </c>
      <c r="G91">
        <f t="shared" si="12"/>
        <v>412.1</v>
      </c>
      <c r="H91" t="str">
        <f t="shared" ref="H91:H100" si="13">H90</f>
        <v>砂土</v>
      </c>
      <c r="I91" t="s">
        <v>22</v>
      </c>
      <c r="J91">
        <v>620</v>
      </c>
      <c r="K91" t="s">
        <v>22</v>
      </c>
      <c r="L91">
        <v>47.9</v>
      </c>
      <c r="M91">
        <v>7.3</v>
      </c>
      <c r="N91" t="s">
        <v>23</v>
      </c>
      <c r="O91">
        <v>60</v>
      </c>
      <c r="P91">
        <v>100.3</v>
      </c>
      <c r="Q91">
        <v>38</v>
      </c>
      <c r="R91">
        <v>56</v>
      </c>
      <c r="S91">
        <v>0.75170000000000003</v>
      </c>
    </row>
    <row r="92" spans="1:19" x14ac:dyDescent="0.25">
      <c r="A92">
        <v>1004</v>
      </c>
      <c r="B92">
        <v>1</v>
      </c>
      <c r="C92" t="s">
        <v>19</v>
      </c>
      <c r="D92">
        <v>4.95</v>
      </c>
      <c r="E92">
        <v>31.7</v>
      </c>
      <c r="F92">
        <f t="shared" si="11"/>
        <v>171</v>
      </c>
      <c r="G92">
        <f t="shared" si="12"/>
        <v>412.1</v>
      </c>
      <c r="H92" t="str">
        <f t="shared" si="13"/>
        <v>砂土</v>
      </c>
      <c r="I92" t="s">
        <v>22</v>
      </c>
      <c r="J92">
        <v>620</v>
      </c>
      <c r="K92" t="s">
        <v>22</v>
      </c>
      <c r="L92">
        <v>47.9</v>
      </c>
      <c r="M92">
        <v>7.3</v>
      </c>
      <c r="N92" t="s">
        <v>23</v>
      </c>
      <c r="O92">
        <v>60</v>
      </c>
      <c r="P92">
        <v>100.3</v>
      </c>
      <c r="Q92">
        <v>38</v>
      </c>
      <c r="R92">
        <v>56</v>
      </c>
      <c r="S92">
        <v>0.7278</v>
      </c>
    </row>
    <row r="93" spans="1:19" x14ac:dyDescent="0.25">
      <c r="A93">
        <v>1004</v>
      </c>
      <c r="B93">
        <v>2</v>
      </c>
      <c r="C93" t="s">
        <v>19</v>
      </c>
      <c r="D93">
        <v>4.95</v>
      </c>
      <c r="E93">
        <v>31.7</v>
      </c>
      <c r="F93">
        <f t="shared" si="11"/>
        <v>171</v>
      </c>
      <c r="G93">
        <f t="shared" si="12"/>
        <v>412.1</v>
      </c>
      <c r="H93" t="str">
        <f t="shared" si="13"/>
        <v>砂土</v>
      </c>
      <c r="I93" t="s">
        <v>22</v>
      </c>
      <c r="J93">
        <v>620</v>
      </c>
      <c r="K93" t="s">
        <v>22</v>
      </c>
      <c r="L93">
        <v>47.9</v>
      </c>
      <c r="M93">
        <v>7.3</v>
      </c>
      <c r="N93" t="s">
        <v>23</v>
      </c>
      <c r="O93">
        <v>60</v>
      </c>
      <c r="P93">
        <v>100.3</v>
      </c>
      <c r="Q93">
        <v>55</v>
      </c>
      <c r="R93">
        <v>56</v>
      </c>
      <c r="S93">
        <v>0.52839999999999998</v>
      </c>
    </row>
    <row r="94" spans="1:19" x14ac:dyDescent="0.25">
      <c r="A94">
        <v>1004</v>
      </c>
      <c r="B94">
        <v>2</v>
      </c>
      <c r="C94" t="s">
        <v>19</v>
      </c>
      <c r="D94">
        <v>4.95</v>
      </c>
      <c r="E94">
        <v>31.7</v>
      </c>
      <c r="F94">
        <f t="shared" si="11"/>
        <v>171</v>
      </c>
      <c r="G94">
        <f t="shared" si="12"/>
        <v>412.1</v>
      </c>
      <c r="H94" t="str">
        <f t="shared" si="13"/>
        <v>砂土</v>
      </c>
      <c r="I94" t="s">
        <v>22</v>
      </c>
      <c r="J94">
        <v>620</v>
      </c>
      <c r="K94" t="s">
        <v>22</v>
      </c>
      <c r="L94">
        <v>47.9</v>
      </c>
      <c r="M94">
        <v>7.3</v>
      </c>
      <c r="N94" t="s">
        <v>23</v>
      </c>
      <c r="O94">
        <v>60</v>
      </c>
      <c r="P94">
        <v>100.3</v>
      </c>
      <c r="Q94">
        <v>55</v>
      </c>
      <c r="R94">
        <v>56</v>
      </c>
      <c r="S94">
        <v>0.50549999999999995</v>
      </c>
    </row>
    <row r="95" spans="1:19" x14ac:dyDescent="0.25">
      <c r="A95">
        <v>1004</v>
      </c>
      <c r="B95">
        <v>2</v>
      </c>
      <c r="C95" t="s">
        <v>19</v>
      </c>
      <c r="D95">
        <v>4.95</v>
      </c>
      <c r="E95">
        <v>31.7</v>
      </c>
      <c r="F95">
        <f t="shared" si="11"/>
        <v>171</v>
      </c>
      <c r="G95">
        <f t="shared" si="12"/>
        <v>412.1</v>
      </c>
      <c r="H95" t="str">
        <f t="shared" si="13"/>
        <v>砂土</v>
      </c>
      <c r="I95" t="s">
        <v>22</v>
      </c>
      <c r="J95">
        <v>620</v>
      </c>
      <c r="K95" t="s">
        <v>22</v>
      </c>
      <c r="L95">
        <v>47.9</v>
      </c>
      <c r="M95">
        <v>7.3</v>
      </c>
      <c r="N95" t="s">
        <v>23</v>
      </c>
      <c r="O95">
        <v>60</v>
      </c>
      <c r="P95">
        <v>100.3</v>
      </c>
      <c r="Q95">
        <v>55</v>
      </c>
      <c r="R95">
        <v>56</v>
      </c>
      <c r="S95">
        <v>0.6401</v>
      </c>
    </row>
    <row r="96" spans="1:19" x14ac:dyDescent="0.25">
      <c r="A96">
        <v>1004</v>
      </c>
      <c r="B96">
        <v>2</v>
      </c>
      <c r="C96" t="s">
        <v>19</v>
      </c>
      <c r="D96">
        <v>4.95</v>
      </c>
      <c r="E96">
        <v>31.7</v>
      </c>
      <c r="F96">
        <f t="shared" si="11"/>
        <v>171</v>
      </c>
      <c r="G96">
        <f t="shared" si="12"/>
        <v>412.1</v>
      </c>
      <c r="H96" t="str">
        <f t="shared" si="13"/>
        <v>砂土</v>
      </c>
      <c r="I96" t="s">
        <v>22</v>
      </c>
      <c r="J96">
        <v>620</v>
      </c>
      <c r="K96" t="s">
        <v>22</v>
      </c>
      <c r="L96">
        <v>47.9</v>
      </c>
      <c r="M96">
        <v>7.3</v>
      </c>
      <c r="N96" t="s">
        <v>23</v>
      </c>
      <c r="O96">
        <v>60</v>
      </c>
      <c r="P96">
        <v>100.3</v>
      </c>
      <c r="Q96">
        <v>55</v>
      </c>
      <c r="R96">
        <v>56</v>
      </c>
      <c r="S96">
        <v>0.54339999999999999</v>
      </c>
    </row>
    <row r="97" spans="1:19" x14ac:dyDescent="0.25">
      <c r="A97">
        <v>1004</v>
      </c>
      <c r="B97">
        <v>3</v>
      </c>
      <c r="C97" t="s">
        <v>19</v>
      </c>
      <c r="D97">
        <v>4.95</v>
      </c>
      <c r="E97">
        <v>31.7</v>
      </c>
      <c r="F97">
        <f t="shared" si="11"/>
        <v>171</v>
      </c>
      <c r="G97">
        <f t="shared" si="12"/>
        <v>412.1</v>
      </c>
      <c r="H97" t="str">
        <f t="shared" si="13"/>
        <v>砂土</v>
      </c>
      <c r="I97" t="s">
        <v>22</v>
      </c>
      <c r="J97">
        <v>620</v>
      </c>
      <c r="K97" t="s">
        <v>22</v>
      </c>
      <c r="L97">
        <v>47.9</v>
      </c>
      <c r="M97">
        <v>7.3</v>
      </c>
      <c r="N97" t="s">
        <v>23</v>
      </c>
      <c r="O97">
        <v>60</v>
      </c>
      <c r="P97">
        <v>100.3</v>
      </c>
      <c r="Q97">
        <v>70</v>
      </c>
      <c r="R97">
        <v>56</v>
      </c>
      <c r="S97">
        <v>0.21929999999999999</v>
      </c>
    </row>
    <row r="98" spans="1:19" x14ac:dyDescent="0.25">
      <c r="A98">
        <v>1004</v>
      </c>
      <c r="B98">
        <v>3</v>
      </c>
      <c r="C98" t="s">
        <v>19</v>
      </c>
      <c r="D98">
        <v>4.95</v>
      </c>
      <c r="E98">
        <v>31.7</v>
      </c>
      <c r="F98">
        <f t="shared" si="11"/>
        <v>171</v>
      </c>
      <c r="G98">
        <f t="shared" si="12"/>
        <v>412.1</v>
      </c>
      <c r="H98" t="str">
        <f t="shared" si="13"/>
        <v>砂土</v>
      </c>
      <c r="I98" t="s">
        <v>22</v>
      </c>
      <c r="J98">
        <v>620</v>
      </c>
      <c r="K98" t="s">
        <v>22</v>
      </c>
      <c r="L98">
        <v>47.9</v>
      </c>
      <c r="M98">
        <v>7.3</v>
      </c>
      <c r="N98" t="s">
        <v>23</v>
      </c>
      <c r="O98">
        <v>60</v>
      </c>
      <c r="P98">
        <v>100.3</v>
      </c>
      <c r="Q98">
        <v>70</v>
      </c>
      <c r="R98">
        <v>56</v>
      </c>
      <c r="S98">
        <v>0.23430000000000001</v>
      </c>
    </row>
    <row r="99" spans="1:19" x14ac:dyDescent="0.25">
      <c r="A99">
        <v>1004</v>
      </c>
      <c r="B99">
        <v>3</v>
      </c>
      <c r="C99" t="s">
        <v>19</v>
      </c>
      <c r="D99">
        <v>4.95</v>
      </c>
      <c r="E99">
        <v>31.7</v>
      </c>
      <c r="F99">
        <f t="shared" si="11"/>
        <v>171</v>
      </c>
      <c r="G99">
        <f t="shared" si="12"/>
        <v>412.1</v>
      </c>
      <c r="H99" t="str">
        <f t="shared" si="13"/>
        <v>砂土</v>
      </c>
      <c r="I99" t="s">
        <v>22</v>
      </c>
      <c r="J99">
        <v>620</v>
      </c>
      <c r="K99" t="s">
        <v>22</v>
      </c>
      <c r="L99">
        <v>47.9</v>
      </c>
      <c r="M99">
        <v>7.3</v>
      </c>
      <c r="N99" t="s">
        <v>23</v>
      </c>
      <c r="O99">
        <v>60</v>
      </c>
      <c r="P99">
        <v>100.3</v>
      </c>
      <c r="Q99">
        <v>70</v>
      </c>
      <c r="R99">
        <v>56</v>
      </c>
      <c r="S99">
        <v>0.2283</v>
      </c>
    </row>
    <row r="100" spans="1:19" x14ac:dyDescent="0.25">
      <c r="A100">
        <v>1004</v>
      </c>
      <c r="B100">
        <v>3</v>
      </c>
      <c r="C100" t="s">
        <v>19</v>
      </c>
      <c r="D100">
        <v>4.95</v>
      </c>
      <c r="E100">
        <v>31.7</v>
      </c>
      <c r="F100">
        <f t="shared" si="11"/>
        <v>171</v>
      </c>
      <c r="G100">
        <f t="shared" si="12"/>
        <v>412.1</v>
      </c>
      <c r="H100" t="str">
        <f t="shared" si="13"/>
        <v>砂土</v>
      </c>
      <c r="I100" t="s">
        <v>22</v>
      </c>
      <c r="J100">
        <v>620</v>
      </c>
      <c r="K100" t="s">
        <v>22</v>
      </c>
      <c r="L100">
        <v>47.9</v>
      </c>
      <c r="M100">
        <v>7.3</v>
      </c>
      <c r="N100" t="s">
        <v>23</v>
      </c>
      <c r="O100">
        <v>60</v>
      </c>
      <c r="P100">
        <v>100.3</v>
      </c>
      <c r="Q100">
        <v>70</v>
      </c>
      <c r="R100">
        <v>56</v>
      </c>
      <c r="S100">
        <v>0.18840000000000001</v>
      </c>
    </row>
    <row r="101" spans="1:19" x14ac:dyDescent="0.25">
      <c r="A101">
        <v>1005</v>
      </c>
      <c r="B101">
        <v>1</v>
      </c>
      <c r="C101" t="s">
        <v>19</v>
      </c>
      <c r="D101">
        <v>4.95</v>
      </c>
      <c r="E101">
        <v>31.7</v>
      </c>
      <c r="F101">
        <v>137.71</v>
      </c>
      <c r="G101">
        <v>342.4</v>
      </c>
      <c r="H101" t="s">
        <v>24</v>
      </c>
      <c r="I101" t="s">
        <v>22</v>
      </c>
      <c r="J101">
        <v>800</v>
      </c>
      <c r="K101" t="s">
        <v>22</v>
      </c>
      <c r="L101">
        <v>50</v>
      </c>
      <c r="M101">
        <v>7.9</v>
      </c>
      <c r="N101" t="s">
        <v>25</v>
      </c>
      <c r="O101" t="s">
        <v>22</v>
      </c>
      <c r="P101">
        <v>2635</v>
      </c>
      <c r="Q101">
        <v>20</v>
      </c>
      <c r="R101">
        <v>150</v>
      </c>
      <c r="S101">
        <v>0.88900000000000001</v>
      </c>
    </row>
    <row r="102" spans="1:19" x14ac:dyDescent="0.25">
      <c r="A102">
        <v>1005</v>
      </c>
      <c r="B102">
        <v>1</v>
      </c>
      <c r="C102" t="s">
        <v>19</v>
      </c>
      <c r="D102">
        <v>4.95</v>
      </c>
      <c r="E102">
        <v>31.7</v>
      </c>
      <c r="F102">
        <f t="shared" ref="F102:H106" si="14">F101</f>
        <v>137.71</v>
      </c>
      <c r="G102">
        <f t="shared" si="14"/>
        <v>342.4</v>
      </c>
      <c r="H102" t="str">
        <f t="shared" si="14"/>
        <v>砂土</v>
      </c>
      <c r="I102" t="s">
        <v>22</v>
      </c>
      <c r="J102">
        <v>800</v>
      </c>
      <c r="K102" t="s">
        <v>22</v>
      </c>
      <c r="L102">
        <v>50</v>
      </c>
      <c r="M102">
        <v>7.9</v>
      </c>
      <c r="N102" t="s">
        <v>25</v>
      </c>
      <c r="O102" t="s">
        <v>22</v>
      </c>
      <c r="P102">
        <v>2635</v>
      </c>
      <c r="Q102">
        <v>20</v>
      </c>
      <c r="R102">
        <v>390</v>
      </c>
      <c r="S102">
        <v>0.371</v>
      </c>
    </row>
    <row r="103" spans="1:19" x14ac:dyDescent="0.25">
      <c r="A103">
        <v>1005</v>
      </c>
      <c r="B103">
        <v>2</v>
      </c>
      <c r="C103" t="s">
        <v>19</v>
      </c>
      <c r="D103">
        <v>4.95</v>
      </c>
      <c r="E103">
        <v>31.7</v>
      </c>
      <c r="F103">
        <f t="shared" si="14"/>
        <v>137.71</v>
      </c>
      <c r="G103">
        <f t="shared" si="14"/>
        <v>342.4</v>
      </c>
      <c r="H103" t="str">
        <f t="shared" si="14"/>
        <v>砂土</v>
      </c>
      <c r="I103" t="s">
        <v>22</v>
      </c>
      <c r="J103">
        <v>800</v>
      </c>
      <c r="K103" t="s">
        <v>22</v>
      </c>
      <c r="L103">
        <v>50</v>
      </c>
      <c r="M103">
        <v>7.9</v>
      </c>
      <c r="N103" t="s">
        <v>25</v>
      </c>
      <c r="O103" t="s">
        <v>22</v>
      </c>
      <c r="P103">
        <v>724</v>
      </c>
      <c r="Q103">
        <v>20</v>
      </c>
      <c r="R103">
        <v>150</v>
      </c>
      <c r="S103">
        <v>1.7470000000000001</v>
      </c>
    </row>
    <row r="104" spans="1:19" x14ac:dyDescent="0.25">
      <c r="A104">
        <v>1005</v>
      </c>
      <c r="B104">
        <v>2</v>
      </c>
      <c r="C104" t="s">
        <v>19</v>
      </c>
      <c r="D104">
        <v>4.95</v>
      </c>
      <c r="E104">
        <v>31.7</v>
      </c>
      <c r="F104">
        <f t="shared" si="14"/>
        <v>137.71</v>
      </c>
      <c r="G104">
        <f t="shared" si="14"/>
        <v>342.4</v>
      </c>
      <c r="H104" t="str">
        <f t="shared" si="14"/>
        <v>砂土</v>
      </c>
      <c r="I104" t="s">
        <v>22</v>
      </c>
      <c r="J104">
        <v>800</v>
      </c>
      <c r="K104" t="s">
        <v>22</v>
      </c>
      <c r="L104">
        <v>50</v>
      </c>
      <c r="M104">
        <v>7.9</v>
      </c>
      <c r="N104" t="s">
        <v>25</v>
      </c>
      <c r="O104" t="s">
        <v>22</v>
      </c>
      <c r="P104">
        <v>724</v>
      </c>
      <c r="Q104">
        <v>20</v>
      </c>
      <c r="R104">
        <v>390</v>
      </c>
      <c r="S104">
        <v>0.48209999999999997</v>
      </c>
    </row>
    <row r="105" spans="1:19" x14ac:dyDescent="0.25">
      <c r="A105">
        <v>1005</v>
      </c>
      <c r="B105">
        <v>3</v>
      </c>
      <c r="C105" t="s">
        <v>19</v>
      </c>
      <c r="D105">
        <v>4.95</v>
      </c>
      <c r="E105">
        <v>31.7</v>
      </c>
      <c r="F105">
        <f t="shared" si="14"/>
        <v>137.71</v>
      </c>
      <c r="G105">
        <f t="shared" si="14"/>
        <v>342.4</v>
      </c>
      <c r="H105" t="str">
        <f t="shared" si="14"/>
        <v>砂土</v>
      </c>
      <c r="I105" t="s">
        <v>22</v>
      </c>
      <c r="J105">
        <v>800</v>
      </c>
      <c r="K105" t="s">
        <v>22</v>
      </c>
      <c r="L105">
        <v>50</v>
      </c>
      <c r="M105">
        <v>7.9</v>
      </c>
      <c r="N105" t="s">
        <v>25</v>
      </c>
      <c r="O105" t="s">
        <v>22</v>
      </c>
      <c r="P105">
        <v>2289</v>
      </c>
      <c r="Q105">
        <v>20</v>
      </c>
      <c r="R105">
        <v>150</v>
      </c>
      <c r="S105">
        <v>7.0000000000000007E-2</v>
      </c>
    </row>
    <row r="106" spans="1:19" x14ac:dyDescent="0.25">
      <c r="A106">
        <v>1005</v>
      </c>
      <c r="B106">
        <v>3</v>
      </c>
      <c r="C106" t="s">
        <v>19</v>
      </c>
      <c r="D106">
        <v>4.95</v>
      </c>
      <c r="E106">
        <v>31.7</v>
      </c>
      <c r="F106">
        <f t="shared" si="14"/>
        <v>137.71</v>
      </c>
      <c r="G106">
        <f t="shared" si="14"/>
        <v>342.4</v>
      </c>
      <c r="H106" t="str">
        <f t="shared" si="14"/>
        <v>砂土</v>
      </c>
      <c r="I106" t="s">
        <v>22</v>
      </c>
      <c r="J106">
        <v>800</v>
      </c>
      <c r="K106" t="s">
        <v>22</v>
      </c>
      <c r="L106">
        <v>50</v>
      </c>
      <c r="M106">
        <v>7.9</v>
      </c>
      <c r="N106" t="s">
        <v>25</v>
      </c>
      <c r="O106" t="s">
        <v>22</v>
      </c>
      <c r="P106">
        <v>2289</v>
      </c>
      <c r="Q106">
        <v>20</v>
      </c>
      <c r="R106">
        <v>390</v>
      </c>
      <c r="S106">
        <v>0.106</v>
      </c>
    </row>
    <row r="107" spans="1:19" x14ac:dyDescent="0.25">
      <c r="A107">
        <v>1005</v>
      </c>
      <c r="B107">
        <v>4</v>
      </c>
      <c r="C107" t="s">
        <v>26</v>
      </c>
      <c r="D107">
        <v>3.3</v>
      </c>
      <c r="E107">
        <v>31.7</v>
      </c>
      <c r="F107">
        <v>218</v>
      </c>
      <c r="G107">
        <v>80.2</v>
      </c>
      <c r="H107" t="str">
        <f t="shared" ref="H107:H112" si="15">H106</f>
        <v>砂土</v>
      </c>
      <c r="J107">
        <v>800</v>
      </c>
      <c r="L107">
        <v>50</v>
      </c>
      <c r="M107">
        <v>7.9</v>
      </c>
      <c r="N107" t="s">
        <v>27</v>
      </c>
      <c r="P107">
        <v>8.5500000000000007</v>
      </c>
      <c r="Q107">
        <v>25</v>
      </c>
      <c r="R107">
        <v>8</v>
      </c>
      <c r="S107">
        <v>0.99</v>
      </c>
    </row>
    <row r="108" spans="1:19" x14ac:dyDescent="0.25">
      <c r="A108">
        <v>1005</v>
      </c>
      <c r="B108">
        <v>4</v>
      </c>
      <c r="C108" t="s">
        <v>28</v>
      </c>
      <c r="D108">
        <v>4.57</v>
      </c>
      <c r="E108">
        <v>1.1000000000000001</v>
      </c>
      <c r="F108">
        <v>100</v>
      </c>
      <c r="G108">
        <v>338</v>
      </c>
      <c r="H108" t="str">
        <f t="shared" si="15"/>
        <v>砂土</v>
      </c>
      <c r="J108">
        <v>800</v>
      </c>
      <c r="L108">
        <v>50</v>
      </c>
      <c r="M108">
        <v>7.9</v>
      </c>
      <c r="N108" t="s">
        <v>29</v>
      </c>
      <c r="P108">
        <v>9.4499999999999993</v>
      </c>
      <c r="Q108">
        <v>25</v>
      </c>
      <c r="R108">
        <v>8</v>
      </c>
      <c r="S108">
        <v>0.92</v>
      </c>
    </row>
    <row r="109" spans="1:19" x14ac:dyDescent="0.25">
      <c r="A109">
        <v>1005</v>
      </c>
      <c r="B109">
        <v>4</v>
      </c>
      <c r="C109" t="s">
        <v>30</v>
      </c>
      <c r="D109">
        <v>4.88</v>
      </c>
      <c r="E109">
        <v>7.2999999999999995E-2</v>
      </c>
      <c r="F109">
        <v>216</v>
      </c>
      <c r="G109">
        <v>340</v>
      </c>
      <c r="H109" t="str">
        <f t="shared" si="15"/>
        <v>砂土</v>
      </c>
      <c r="J109">
        <v>800</v>
      </c>
      <c r="L109">
        <v>50</v>
      </c>
      <c r="M109">
        <v>7.9</v>
      </c>
      <c r="N109" t="s">
        <v>29</v>
      </c>
      <c r="P109">
        <v>3.6</v>
      </c>
      <c r="Q109">
        <v>25</v>
      </c>
      <c r="R109">
        <v>8</v>
      </c>
      <c r="S109">
        <v>0.91</v>
      </c>
    </row>
    <row r="110" spans="1:19" x14ac:dyDescent="0.25">
      <c r="A110">
        <v>1005</v>
      </c>
      <c r="B110">
        <v>4</v>
      </c>
      <c r="C110" t="s">
        <v>31</v>
      </c>
      <c r="D110">
        <v>5.22</v>
      </c>
      <c r="E110">
        <v>0.26</v>
      </c>
      <c r="F110">
        <v>110</v>
      </c>
      <c r="G110">
        <v>384</v>
      </c>
      <c r="H110" t="str">
        <f t="shared" si="15"/>
        <v>砂土</v>
      </c>
      <c r="J110">
        <v>800</v>
      </c>
      <c r="L110">
        <v>50</v>
      </c>
      <c r="M110">
        <v>7.9</v>
      </c>
      <c r="N110" t="s">
        <v>32</v>
      </c>
      <c r="P110">
        <v>12.6</v>
      </c>
      <c r="Q110">
        <v>25</v>
      </c>
      <c r="R110">
        <v>8</v>
      </c>
      <c r="S110">
        <v>0.93</v>
      </c>
    </row>
    <row r="111" spans="1:19" x14ac:dyDescent="0.25">
      <c r="A111">
        <v>1005</v>
      </c>
      <c r="B111">
        <v>4</v>
      </c>
      <c r="C111" t="s">
        <v>33</v>
      </c>
      <c r="D111">
        <v>5.61</v>
      </c>
      <c r="E111">
        <v>2E-3</v>
      </c>
      <c r="F111">
        <v>250</v>
      </c>
      <c r="G111">
        <v>448</v>
      </c>
      <c r="H111" t="str">
        <f t="shared" si="15"/>
        <v>砂土</v>
      </c>
      <c r="J111">
        <v>800</v>
      </c>
      <c r="L111">
        <v>50</v>
      </c>
      <c r="M111">
        <v>7.9</v>
      </c>
      <c r="N111" t="s">
        <v>32</v>
      </c>
      <c r="P111">
        <v>1.8</v>
      </c>
      <c r="Q111">
        <v>25</v>
      </c>
      <c r="R111">
        <v>8</v>
      </c>
      <c r="S111">
        <v>0.95</v>
      </c>
    </row>
    <row r="112" spans="1:19" x14ac:dyDescent="0.25">
      <c r="A112">
        <v>1005</v>
      </c>
      <c r="B112">
        <v>4</v>
      </c>
      <c r="C112" t="s">
        <v>19</v>
      </c>
      <c r="D112">
        <v>4.95</v>
      </c>
      <c r="E112">
        <v>31.7</v>
      </c>
      <c r="F112">
        <v>137.71</v>
      </c>
      <c r="G112">
        <v>342.4</v>
      </c>
      <c r="H112" t="str">
        <f t="shared" si="15"/>
        <v>砂土</v>
      </c>
      <c r="J112">
        <v>800</v>
      </c>
      <c r="L112">
        <v>50</v>
      </c>
      <c r="M112">
        <v>7.9</v>
      </c>
      <c r="N112" t="s">
        <v>25</v>
      </c>
      <c r="P112">
        <v>8.3000000000000007</v>
      </c>
      <c r="Q112">
        <v>25</v>
      </c>
      <c r="R112">
        <v>8</v>
      </c>
      <c r="S112">
        <v>0.95</v>
      </c>
    </row>
    <row r="113" spans="1:19" x14ac:dyDescent="0.25">
      <c r="A113">
        <v>1006</v>
      </c>
      <c r="B113">
        <v>1</v>
      </c>
      <c r="C113" t="s">
        <v>19</v>
      </c>
      <c r="D113">
        <v>4.95</v>
      </c>
      <c r="E113">
        <v>31.7</v>
      </c>
      <c r="F113">
        <v>171.19</v>
      </c>
      <c r="G113">
        <v>412.27</v>
      </c>
      <c r="H113" t="s">
        <v>20</v>
      </c>
      <c r="I113">
        <v>500</v>
      </c>
      <c r="J113">
        <v>1000</v>
      </c>
      <c r="K113" t="s">
        <v>22</v>
      </c>
      <c r="L113">
        <v>19.2</v>
      </c>
      <c r="M113">
        <v>6.4</v>
      </c>
      <c r="N113" t="s">
        <v>23</v>
      </c>
      <c r="O113">
        <v>60</v>
      </c>
      <c r="P113">
        <v>10.835000000000001</v>
      </c>
      <c r="Q113">
        <v>28</v>
      </c>
      <c r="R113">
        <v>30</v>
      </c>
      <c r="S113">
        <v>0.35</v>
      </c>
    </row>
    <row r="114" spans="1:19" x14ac:dyDescent="0.25">
      <c r="A114">
        <f>A113</f>
        <v>1006</v>
      </c>
      <c r="B114">
        <v>1</v>
      </c>
      <c r="C114" t="s">
        <v>28</v>
      </c>
      <c r="D114">
        <v>4.57</v>
      </c>
      <c r="E114">
        <v>1.1000000000000001</v>
      </c>
      <c r="F114">
        <v>100</v>
      </c>
      <c r="G114">
        <v>338</v>
      </c>
      <c r="H114" t="str">
        <f>H113</f>
        <v>壤土</v>
      </c>
      <c r="I114">
        <f t="shared" ref="I114:I154" si="16">I113</f>
        <v>500</v>
      </c>
      <c r="J114">
        <f>J113</f>
        <v>1000</v>
      </c>
      <c r="L114">
        <f>L113</f>
        <v>19.2</v>
      </c>
      <c r="M114">
        <f>M113</f>
        <v>6.4</v>
      </c>
      <c r="N114" t="s">
        <v>29</v>
      </c>
      <c r="O114">
        <v>60</v>
      </c>
      <c r="P114">
        <v>0.59099999999999997</v>
      </c>
      <c r="Q114">
        <v>28</v>
      </c>
      <c r="R114">
        <f>R113</f>
        <v>30</v>
      </c>
      <c r="S114">
        <v>0.33</v>
      </c>
    </row>
    <row r="115" spans="1:19" x14ac:dyDescent="0.25">
      <c r="A115">
        <f t="shared" ref="A115:A154" si="17">A114</f>
        <v>1006</v>
      </c>
      <c r="B115">
        <v>1</v>
      </c>
      <c r="C115" t="s">
        <v>30</v>
      </c>
      <c r="D115">
        <v>4.88</v>
      </c>
      <c r="E115">
        <v>7.2999999999999995E-2</v>
      </c>
      <c r="F115">
        <v>216</v>
      </c>
      <c r="G115">
        <v>340</v>
      </c>
      <c r="H115" t="str">
        <f t="shared" ref="H115:H154" si="18">H114</f>
        <v>壤土</v>
      </c>
      <c r="I115">
        <f t="shared" si="16"/>
        <v>500</v>
      </c>
      <c r="J115">
        <f t="shared" ref="J115:J154" si="19">J114</f>
        <v>1000</v>
      </c>
      <c r="L115">
        <f t="shared" ref="L115:L154" si="20">L114</f>
        <v>19.2</v>
      </c>
      <c r="M115">
        <f t="shared" ref="M115:M154" si="21">M114</f>
        <v>6.4</v>
      </c>
      <c r="N115" t="s">
        <v>29</v>
      </c>
      <c r="O115">
        <f>O114</f>
        <v>60</v>
      </c>
      <c r="P115">
        <v>7.8899999999999998E-2</v>
      </c>
      <c r="Q115">
        <v>28</v>
      </c>
      <c r="R115">
        <f t="shared" ref="R115:R126" si="22">R114</f>
        <v>30</v>
      </c>
      <c r="S115">
        <v>0.72</v>
      </c>
    </row>
    <row r="116" spans="1:19" x14ac:dyDescent="0.25">
      <c r="A116">
        <f t="shared" si="17"/>
        <v>1006</v>
      </c>
      <c r="B116">
        <v>1</v>
      </c>
      <c r="C116" t="s">
        <v>34</v>
      </c>
      <c r="D116">
        <v>4.18</v>
      </c>
      <c r="E116">
        <v>1.68</v>
      </c>
      <c r="F116">
        <v>115</v>
      </c>
      <c r="G116">
        <v>295</v>
      </c>
      <c r="H116" t="str">
        <f t="shared" si="18"/>
        <v>壤土</v>
      </c>
      <c r="I116">
        <f t="shared" si="16"/>
        <v>500</v>
      </c>
      <c r="J116">
        <f t="shared" si="19"/>
        <v>1000</v>
      </c>
      <c r="L116">
        <f t="shared" si="20"/>
        <v>19.2</v>
      </c>
      <c r="M116">
        <f t="shared" si="21"/>
        <v>6.4</v>
      </c>
      <c r="N116" t="s">
        <v>29</v>
      </c>
      <c r="O116">
        <f t="shared" ref="O116:O180" si="23">O115</f>
        <v>60</v>
      </c>
      <c r="P116">
        <v>8.8800000000000004E-2</v>
      </c>
      <c r="Q116">
        <v>28</v>
      </c>
      <c r="R116">
        <f t="shared" si="22"/>
        <v>30</v>
      </c>
      <c r="S116">
        <v>0.38</v>
      </c>
    </row>
    <row r="117" spans="1:19" x14ac:dyDescent="0.25">
      <c r="A117">
        <f t="shared" si="17"/>
        <v>1006</v>
      </c>
      <c r="B117">
        <v>1</v>
      </c>
      <c r="C117" t="s">
        <v>31</v>
      </c>
      <c r="D117">
        <v>5.22</v>
      </c>
      <c r="E117">
        <v>0.26</v>
      </c>
      <c r="F117">
        <v>110</v>
      </c>
      <c r="G117">
        <v>384</v>
      </c>
      <c r="H117" t="str">
        <f t="shared" si="18"/>
        <v>壤土</v>
      </c>
      <c r="I117">
        <f t="shared" si="16"/>
        <v>500</v>
      </c>
      <c r="J117">
        <f t="shared" si="19"/>
        <v>1000</v>
      </c>
      <c r="L117">
        <f t="shared" si="20"/>
        <v>19.2</v>
      </c>
      <c r="M117">
        <f t="shared" si="21"/>
        <v>6.4</v>
      </c>
      <c r="N117" t="s">
        <v>32</v>
      </c>
      <c r="O117">
        <f t="shared" si="23"/>
        <v>60</v>
      </c>
      <c r="P117">
        <v>2.15</v>
      </c>
      <c r="Q117">
        <v>28</v>
      </c>
      <c r="R117">
        <f t="shared" si="22"/>
        <v>30</v>
      </c>
      <c r="S117">
        <v>0.28000000000000003</v>
      </c>
    </row>
    <row r="118" spans="1:19" x14ac:dyDescent="0.25">
      <c r="A118">
        <f t="shared" si="17"/>
        <v>1006</v>
      </c>
      <c r="B118">
        <v>1</v>
      </c>
      <c r="C118" t="s">
        <v>35</v>
      </c>
      <c r="D118">
        <v>5.18</v>
      </c>
      <c r="E118">
        <v>0.13200000000000001</v>
      </c>
      <c r="F118">
        <v>150</v>
      </c>
      <c r="G118">
        <v>393</v>
      </c>
      <c r="H118" t="str">
        <f t="shared" si="18"/>
        <v>壤土</v>
      </c>
      <c r="I118">
        <f t="shared" si="16"/>
        <v>500</v>
      </c>
      <c r="J118">
        <f t="shared" si="19"/>
        <v>1000</v>
      </c>
      <c r="L118">
        <f t="shared" si="20"/>
        <v>19.2</v>
      </c>
      <c r="M118">
        <f t="shared" si="21"/>
        <v>6.4</v>
      </c>
      <c r="N118" t="s">
        <v>32</v>
      </c>
      <c r="O118">
        <f t="shared" si="23"/>
        <v>60</v>
      </c>
      <c r="P118">
        <v>1.6080000000000001</v>
      </c>
      <c r="Q118">
        <v>28</v>
      </c>
      <c r="R118">
        <f t="shared" si="22"/>
        <v>30</v>
      </c>
      <c r="S118">
        <v>0.3</v>
      </c>
    </row>
    <row r="119" spans="1:19" x14ac:dyDescent="0.25">
      <c r="A119">
        <f t="shared" si="17"/>
        <v>1006</v>
      </c>
      <c r="B119">
        <v>1</v>
      </c>
      <c r="C119" t="s">
        <v>36</v>
      </c>
      <c r="D119">
        <v>5.91</v>
      </c>
      <c r="E119">
        <v>1.0999999999999999E-2</v>
      </c>
      <c r="F119">
        <v>159</v>
      </c>
      <c r="G119">
        <v>436</v>
      </c>
      <c r="H119" t="str">
        <f t="shared" si="18"/>
        <v>壤土</v>
      </c>
      <c r="I119">
        <f t="shared" si="16"/>
        <v>500</v>
      </c>
      <c r="J119">
        <f t="shared" si="19"/>
        <v>1000</v>
      </c>
      <c r="L119">
        <f t="shared" si="20"/>
        <v>19.2</v>
      </c>
      <c r="M119">
        <f t="shared" si="21"/>
        <v>6.4</v>
      </c>
      <c r="N119" t="s">
        <v>32</v>
      </c>
      <c r="O119">
        <f t="shared" si="23"/>
        <v>60</v>
      </c>
      <c r="P119">
        <v>0.85699999999999998</v>
      </c>
      <c r="Q119">
        <v>28</v>
      </c>
      <c r="R119">
        <f t="shared" si="22"/>
        <v>30</v>
      </c>
      <c r="S119">
        <v>0.35</v>
      </c>
    </row>
    <row r="120" spans="1:19" x14ac:dyDescent="0.25">
      <c r="A120">
        <f t="shared" si="17"/>
        <v>1006</v>
      </c>
      <c r="B120">
        <v>1</v>
      </c>
      <c r="C120" t="s">
        <v>37</v>
      </c>
      <c r="D120">
        <v>6.04</v>
      </c>
      <c r="E120">
        <v>1.5E-3</v>
      </c>
      <c r="F120">
        <v>168</v>
      </c>
      <c r="G120">
        <v>470</v>
      </c>
      <c r="H120" t="str">
        <f t="shared" si="18"/>
        <v>壤土</v>
      </c>
      <c r="I120">
        <f t="shared" si="16"/>
        <v>500</v>
      </c>
      <c r="J120">
        <f t="shared" si="19"/>
        <v>1000</v>
      </c>
      <c r="L120">
        <f t="shared" si="20"/>
        <v>19.2</v>
      </c>
      <c r="M120">
        <f t="shared" si="21"/>
        <v>6.4</v>
      </c>
      <c r="N120" t="s">
        <v>38</v>
      </c>
      <c r="O120">
        <f t="shared" si="23"/>
        <v>60</v>
      </c>
      <c r="P120">
        <v>1.2669999999999999</v>
      </c>
      <c r="Q120">
        <v>28</v>
      </c>
      <c r="R120">
        <f t="shared" si="22"/>
        <v>30</v>
      </c>
      <c r="S120">
        <v>0.32</v>
      </c>
    </row>
    <row r="121" spans="1:19" x14ac:dyDescent="0.25">
      <c r="A121">
        <f t="shared" si="17"/>
        <v>1006</v>
      </c>
      <c r="B121">
        <v>1</v>
      </c>
      <c r="C121" t="s">
        <v>39</v>
      </c>
      <c r="D121">
        <v>6.34</v>
      </c>
      <c r="E121">
        <v>8.0000000000000004E-4</v>
      </c>
      <c r="F121">
        <v>216</v>
      </c>
      <c r="G121">
        <v>480</v>
      </c>
      <c r="H121" t="str">
        <f t="shared" si="18"/>
        <v>壤土</v>
      </c>
      <c r="I121">
        <f t="shared" si="16"/>
        <v>500</v>
      </c>
      <c r="J121">
        <f t="shared" si="19"/>
        <v>1000</v>
      </c>
      <c r="L121">
        <f t="shared" si="20"/>
        <v>19.2</v>
      </c>
      <c r="M121">
        <f t="shared" si="21"/>
        <v>6.4</v>
      </c>
      <c r="N121" t="s">
        <v>38</v>
      </c>
      <c r="O121">
        <f t="shared" si="23"/>
        <v>60</v>
      </c>
      <c r="P121">
        <v>0.50800000000000001</v>
      </c>
      <c r="Q121">
        <v>28</v>
      </c>
      <c r="R121">
        <f t="shared" si="22"/>
        <v>30</v>
      </c>
      <c r="S121">
        <v>0.31</v>
      </c>
    </row>
    <row r="122" spans="1:19" x14ac:dyDescent="0.25">
      <c r="A122">
        <f t="shared" si="17"/>
        <v>1006</v>
      </c>
      <c r="B122">
        <v>1</v>
      </c>
      <c r="C122" t="s">
        <v>40</v>
      </c>
      <c r="D122">
        <v>6.04</v>
      </c>
      <c r="E122">
        <v>3.8E-3</v>
      </c>
      <c r="F122">
        <v>178</v>
      </c>
      <c r="G122">
        <v>495</v>
      </c>
      <c r="H122" t="str">
        <f t="shared" si="18"/>
        <v>壤土</v>
      </c>
      <c r="I122">
        <f t="shared" si="16"/>
        <v>500</v>
      </c>
      <c r="J122">
        <f t="shared" si="19"/>
        <v>1000</v>
      </c>
      <c r="L122">
        <f t="shared" si="20"/>
        <v>19.2</v>
      </c>
      <c r="M122">
        <f t="shared" si="21"/>
        <v>6.4</v>
      </c>
      <c r="N122" t="s">
        <v>38</v>
      </c>
      <c r="O122">
        <f t="shared" si="23"/>
        <v>60</v>
      </c>
      <c r="P122">
        <v>0.92400000000000004</v>
      </c>
      <c r="Q122">
        <v>28</v>
      </c>
      <c r="R122">
        <f t="shared" si="22"/>
        <v>30</v>
      </c>
      <c r="S122">
        <v>0.7</v>
      </c>
    </row>
    <row r="123" spans="1:19" x14ac:dyDescent="0.25">
      <c r="A123">
        <f t="shared" si="17"/>
        <v>1006</v>
      </c>
      <c r="B123">
        <v>1</v>
      </c>
      <c r="C123" t="s">
        <v>41</v>
      </c>
      <c r="D123">
        <v>6.75</v>
      </c>
      <c r="E123">
        <v>2.9999999999999997E-4</v>
      </c>
      <c r="F123">
        <v>263</v>
      </c>
      <c r="G123">
        <v>524</v>
      </c>
      <c r="H123" t="str">
        <f t="shared" si="18"/>
        <v>壤土</v>
      </c>
      <c r="I123">
        <f t="shared" si="16"/>
        <v>500</v>
      </c>
      <c r="J123">
        <f t="shared" si="19"/>
        <v>1000</v>
      </c>
      <c r="L123">
        <f t="shared" si="20"/>
        <v>19.2</v>
      </c>
      <c r="M123">
        <f t="shared" si="21"/>
        <v>6.4</v>
      </c>
      <c r="N123" t="s">
        <v>38</v>
      </c>
      <c r="O123">
        <f t="shared" si="23"/>
        <v>60</v>
      </c>
      <c r="P123">
        <v>0.1019</v>
      </c>
      <c r="Q123">
        <v>28</v>
      </c>
      <c r="R123">
        <f t="shared" si="22"/>
        <v>30</v>
      </c>
      <c r="S123">
        <v>0.28999999999999998</v>
      </c>
    </row>
    <row r="124" spans="1:19" x14ac:dyDescent="0.25">
      <c r="A124">
        <f t="shared" si="17"/>
        <v>1006</v>
      </c>
      <c r="B124">
        <v>1</v>
      </c>
      <c r="C124" t="s">
        <v>42</v>
      </c>
      <c r="D124">
        <v>6.5</v>
      </c>
      <c r="E124">
        <v>2.5999999999999998E-4</v>
      </c>
      <c r="F124">
        <v>273</v>
      </c>
      <c r="G124">
        <v>552</v>
      </c>
      <c r="H124" t="str">
        <f t="shared" si="18"/>
        <v>壤土</v>
      </c>
      <c r="I124">
        <f t="shared" si="16"/>
        <v>500</v>
      </c>
      <c r="J124">
        <f t="shared" si="19"/>
        <v>1000</v>
      </c>
      <c r="L124">
        <f t="shared" si="20"/>
        <v>19.2</v>
      </c>
      <c r="M124">
        <f t="shared" si="21"/>
        <v>6.4</v>
      </c>
      <c r="N124" t="s">
        <v>43</v>
      </c>
      <c r="O124">
        <f t="shared" si="23"/>
        <v>60</v>
      </c>
      <c r="P124">
        <v>0.96699999999999997</v>
      </c>
      <c r="Q124">
        <v>28</v>
      </c>
      <c r="R124">
        <f t="shared" si="22"/>
        <v>30</v>
      </c>
      <c r="S124">
        <v>0.36</v>
      </c>
    </row>
    <row r="125" spans="1:19" x14ac:dyDescent="0.25">
      <c r="A125">
        <f t="shared" si="17"/>
        <v>1006</v>
      </c>
      <c r="B125">
        <v>1</v>
      </c>
      <c r="C125" t="s">
        <v>33</v>
      </c>
      <c r="D125">
        <v>5.61</v>
      </c>
      <c r="E125">
        <v>2E-3</v>
      </c>
      <c r="F125">
        <v>255</v>
      </c>
      <c r="G125">
        <v>448</v>
      </c>
      <c r="H125" t="str">
        <f t="shared" si="18"/>
        <v>壤土</v>
      </c>
      <c r="I125">
        <f t="shared" si="16"/>
        <v>500</v>
      </c>
      <c r="J125">
        <f t="shared" si="19"/>
        <v>1000</v>
      </c>
      <c r="L125">
        <f t="shared" si="20"/>
        <v>19.2</v>
      </c>
      <c r="M125">
        <f t="shared" si="21"/>
        <v>6.4</v>
      </c>
      <c r="N125" t="s">
        <v>32</v>
      </c>
      <c r="O125">
        <f t="shared" si="23"/>
        <v>60</v>
      </c>
      <c r="P125">
        <v>0.95099999999999996</v>
      </c>
      <c r="Q125">
        <v>28</v>
      </c>
      <c r="R125">
        <f t="shared" si="22"/>
        <v>30</v>
      </c>
      <c r="S125">
        <v>0.31</v>
      </c>
    </row>
    <row r="126" spans="1:19" x14ac:dyDescent="0.25">
      <c r="A126">
        <f t="shared" si="17"/>
        <v>1006</v>
      </c>
      <c r="B126">
        <v>1</v>
      </c>
      <c r="C126" t="s">
        <v>44</v>
      </c>
      <c r="D126">
        <v>6.58</v>
      </c>
      <c r="E126">
        <v>2.3000000000000001E-4</v>
      </c>
      <c r="F126">
        <v>163</v>
      </c>
      <c r="G126">
        <v>536</v>
      </c>
      <c r="H126" t="str">
        <f t="shared" si="18"/>
        <v>壤土</v>
      </c>
      <c r="I126">
        <f t="shared" si="16"/>
        <v>500</v>
      </c>
      <c r="J126">
        <f t="shared" si="19"/>
        <v>1000</v>
      </c>
      <c r="L126">
        <f t="shared" si="20"/>
        <v>19.2</v>
      </c>
      <c r="M126">
        <f t="shared" si="21"/>
        <v>6.4</v>
      </c>
      <c r="N126" t="s">
        <v>43</v>
      </c>
      <c r="O126">
        <f t="shared" si="23"/>
        <v>60</v>
      </c>
      <c r="P126">
        <v>0.74199999999999999</v>
      </c>
      <c r="Q126">
        <v>28</v>
      </c>
      <c r="R126">
        <f t="shared" si="22"/>
        <v>30</v>
      </c>
      <c r="S126">
        <v>0.31</v>
      </c>
    </row>
    <row r="127" spans="1:19" x14ac:dyDescent="0.25">
      <c r="A127">
        <f t="shared" si="17"/>
        <v>1006</v>
      </c>
      <c r="B127">
        <v>2</v>
      </c>
      <c r="C127" t="s">
        <v>19</v>
      </c>
      <c r="D127">
        <v>4.95</v>
      </c>
      <c r="E127">
        <v>31.7</v>
      </c>
      <c r="F127">
        <v>171.19</v>
      </c>
      <c r="G127">
        <v>412.27</v>
      </c>
      <c r="H127" t="str">
        <f t="shared" si="18"/>
        <v>壤土</v>
      </c>
      <c r="I127">
        <f t="shared" si="16"/>
        <v>500</v>
      </c>
      <c r="J127">
        <f t="shared" si="19"/>
        <v>1000</v>
      </c>
      <c r="K127" t="s">
        <v>22</v>
      </c>
      <c r="L127">
        <f t="shared" si="20"/>
        <v>19.2</v>
      </c>
      <c r="M127">
        <f t="shared" si="21"/>
        <v>6.4</v>
      </c>
      <c r="N127" t="s">
        <v>23</v>
      </c>
      <c r="O127">
        <f t="shared" si="23"/>
        <v>60</v>
      </c>
      <c r="P127">
        <v>10.835000000000001</v>
      </c>
      <c r="Q127">
        <v>28</v>
      </c>
      <c r="R127">
        <v>30</v>
      </c>
      <c r="S127">
        <v>0.16</v>
      </c>
    </row>
    <row r="128" spans="1:19" x14ac:dyDescent="0.25">
      <c r="A128">
        <f t="shared" si="17"/>
        <v>1006</v>
      </c>
      <c r="B128">
        <f>B127</f>
        <v>2</v>
      </c>
      <c r="C128" t="s">
        <v>28</v>
      </c>
      <c r="D128">
        <v>4.57</v>
      </c>
      <c r="E128">
        <v>1.1000000000000001</v>
      </c>
      <c r="F128">
        <v>100</v>
      </c>
      <c r="G128">
        <v>338</v>
      </c>
      <c r="H128" t="str">
        <f t="shared" si="18"/>
        <v>壤土</v>
      </c>
      <c r="I128">
        <f t="shared" si="16"/>
        <v>500</v>
      </c>
      <c r="J128">
        <f t="shared" si="19"/>
        <v>1000</v>
      </c>
      <c r="L128">
        <f t="shared" si="20"/>
        <v>19.2</v>
      </c>
      <c r="M128">
        <f t="shared" si="21"/>
        <v>6.4</v>
      </c>
      <c r="N128" t="s">
        <v>29</v>
      </c>
      <c r="O128">
        <f t="shared" si="23"/>
        <v>60</v>
      </c>
      <c r="P128">
        <v>0.59099999999999997</v>
      </c>
      <c r="Q128">
        <v>28</v>
      </c>
      <c r="R128">
        <f>R127</f>
        <v>30</v>
      </c>
      <c r="S128">
        <v>0.25</v>
      </c>
    </row>
    <row r="129" spans="1:19" x14ac:dyDescent="0.25">
      <c r="A129">
        <f t="shared" si="17"/>
        <v>1006</v>
      </c>
      <c r="B129">
        <f t="shared" ref="B129:B140" si="24">B128</f>
        <v>2</v>
      </c>
      <c r="C129" t="s">
        <v>30</v>
      </c>
      <c r="D129">
        <v>4.88</v>
      </c>
      <c r="E129">
        <v>7.2999999999999995E-2</v>
      </c>
      <c r="F129">
        <v>216</v>
      </c>
      <c r="G129">
        <v>340</v>
      </c>
      <c r="H129" t="str">
        <f t="shared" si="18"/>
        <v>壤土</v>
      </c>
      <c r="I129">
        <f t="shared" si="16"/>
        <v>500</v>
      </c>
      <c r="J129">
        <f t="shared" si="19"/>
        <v>1000</v>
      </c>
      <c r="L129">
        <f t="shared" si="20"/>
        <v>19.2</v>
      </c>
      <c r="M129">
        <f t="shared" si="21"/>
        <v>6.4</v>
      </c>
      <c r="N129" t="s">
        <v>29</v>
      </c>
      <c r="O129">
        <f t="shared" si="23"/>
        <v>60</v>
      </c>
      <c r="P129">
        <v>7.8899999999999998E-2</v>
      </c>
      <c r="Q129">
        <v>28</v>
      </c>
      <c r="R129">
        <f t="shared" ref="R129:R154" si="25">R128</f>
        <v>30</v>
      </c>
      <c r="S129">
        <v>0.44</v>
      </c>
    </row>
    <row r="130" spans="1:19" x14ac:dyDescent="0.25">
      <c r="A130">
        <f t="shared" si="17"/>
        <v>1006</v>
      </c>
      <c r="B130">
        <f t="shared" si="24"/>
        <v>2</v>
      </c>
      <c r="C130" t="s">
        <v>34</v>
      </c>
      <c r="D130">
        <v>4.18</v>
      </c>
      <c r="E130">
        <v>1.68</v>
      </c>
      <c r="F130">
        <v>115</v>
      </c>
      <c r="G130">
        <v>295</v>
      </c>
      <c r="H130" t="str">
        <f t="shared" si="18"/>
        <v>壤土</v>
      </c>
      <c r="I130">
        <f t="shared" si="16"/>
        <v>500</v>
      </c>
      <c r="J130">
        <f t="shared" si="19"/>
        <v>1000</v>
      </c>
      <c r="L130">
        <f t="shared" si="20"/>
        <v>19.2</v>
      </c>
      <c r="M130">
        <f t="shared" si="21"/>
        <v>6.4</v>
      </c>
      <c r="N130" t="s">
        <v>29</v>
      </c>
      <c r="O130">
        <f t="shared" si="23"/>
        <v>60</v>
      </c>
      <c r="P130">
        <v>8.8800000000000004E-2</v>
      </c>
      <c r="Q130">
        <v>28</v>
      </c>
      <c r="R130">
        <f t="shared" si="25"/>
        <v>30</v>
      </c>
      <c r="S130">
        <v>0.61</v>
      </c>
    </row>
    <row r="131" spans="1:19" x14ac:dyDescent="0.25">
      <c r="A131">
        <f t="shared" si="17"/>
        <v>1006</v>
      </c>
      <c r="B131">
        <f t="shared" si="24"/>
        <v>2</v>
      </c>
      <c r="C131" t="s">
        <v>31</v>
      </c>
      <c r="D131">
        <v>5.22</v>
      </c>
      <c r="E131">
        <v>0.26</v>
      </c>
      <c r="F131">
        <v>110</v>
      </c>
      <c r="G131">
        <v>384</v>
      </c>
      <c r="H131" t="str">
        <f t="shared" si="18"/>
        <v>壤土</v>
      </c>
      <c r="I131">
        <f t="shared" si="16"/>
        <v>500</v>
      </c>
      <c r="J131">
        <f t="shared" si="19"/>
        <v>1000</v>
      </c>
      <c r="L131">
        <f t="shared" si="20"/>
        <v>19.2</v>
      </c>
      <c r="M131">
        <f t="shared" si="21"/>
        <v>6.4</v>
      </c>
      <c r="N131" t="s">
        <v>32</v>
      </c>
      <c r="O131">
        <f t="shared" si="23"/>
        <v>60</v>
      </c>
      <c r="P131">
        <v>2.15</v>
      </c>
      <c r="Q131">
        <v>28</v>
      </c>
      <c r="R131">
        <f t="shared" si="25"/>
        <v>30</v>
      </c>
      <c r="S131">
        <v>0.15</v>
      </c>
    </row>
    <row r="132" spans="1:19" x14ac:dyDescent="0.25">
      <c r="A132">
        <f t="shared" si="17"/>
        <v>1006</v>
      </c>
      <c r="B132">
        <f t="shared" si="24"/>
        <v>2</v>
      </c>
      <c r="C132" t="s">
        <v>35</v>
      </c>
      <c r="D132">
        <v>5.18</v>
      </c>
      <c r="E132">
        <v>0.13200000000000001</v>
      </c>
      <c r="F132">
        <v>150</v>
      </c>
      <c r="G132">
        <v>393</v>
      </c>
      <c r="H132" t="str">
        <f t="shared" si="18"/>
        <v>壤土</v>
      </c>
      <c r="I132">
        <f t="shared" si="16"/>
        <v>500</v>
      </c>
      <c r="J132">
        <f t="shared" si="19"/>
        <v>1000</v>
      </c>
      <c r="L132">
        <f t="shared" si="20"/>
        <v>19.2</v>
      </c>
      <c r="M132">
        <f t="shared" si="21"/>
        <v>6.4</v>
      </c>
      <c r="N132" t="s">
        <v>32</v>
      </c>
      <c r="O132">
        <f t="shared" si="23"/>
        <v>60</v>
      </c>
      <c r="P132">
        <v>1.6080000000000001</v>
      </c>
      <c r="Q132">
        <v>28</v>
      </c>
      <c r="R132">
        <f t="shared" si="25"/>
        <v>30</v>
      </c>
      <c r="S132">
        <v>0.17</v>
      </c>
    </row>
    <row r="133" spans="1:19" x14ac:dyDescent="0.25">
      <c r="A133">
        <f t="shared" si="17"/>
        <v>1006</v>
      </c>
      <c r="B133">
        <f t="shared" si="24"/>
        <v>2</v>
      </c>
      <c r="C133" t="s">
        <v>36</v>
      </c>
      <c r="D133">
        <v>5.91</v>
      </c>
      <c r="E133">
        <v>1.0999999999999999E-2</v>
      </c>
      <c r="F133">
        <v>159</v>
      </c>
      <c r="G133">
        <v>436</v>
      </c>
      <c r="H133" t="str">
        <f t="shared" si="18"/>
        <v>壤土</v>
      </c>
      <c r="I133">
        <f t="shared" si="16"/>
        <v>500</v>
      </c>
      <c r="J133">
        <f t="shared" si="19"/>
        <v>1000</v>
      </c>
      <c r="L133">
        <f t="shared" si="20"/>
        <v>19.2</v>
      </c>
      <c r="M133">
        <f t="shared" si="21"/>
        <v>6.4</v>
      </c>
      <c r="N133" t="s">
        <v>32</v>
      </c>
      <c r="O133">
        <f t="shared" si="23"/>
        <v>60</v>
      </c>
      <c r="P133">
        <v>0.85699999999999998</v>
      </c>
      <c r="Q133">
        <v>28</v>
      </c>
      <c r="R133">
        <f t="shared" si="25"/>
        <v>30</v>
      </c>
      <c r="S133">
        <v>0.16</v>
      </c>
    </row>
    <row r="134" spans="1:19" x14ac:dyDescent="0.25">
      <c r="A134">
        <f t="shared" si="17"/>
        <v>1006</v>
      </c>
      <c r="B134">
        <f t="shared" si="24"/>
        <v>2</v>
      </c>
      <c r="C134" t="s">
        <v>37</v>
      </c>
      <c r="D134">
        <v>6.04</v>
      </c>
      <c r="E134">
        <v>1.5E-3</v>
      </c>
      <c r="F134">
        <v>168</v>
      </c>
      <c r="G134">
        <v>470</v>
      </c>
      <c r="H134" t="str">
        <f t="shared" si="18"/>
        <v>壤土</v>
      </c>
      <c r="I134">
        <f t="shared" si="16"/>
        <v>500</v>
      </c>
      <c r="J134">
        <f t="shared" si="19"/>
        <v>1000</v>
      </c>
      <c r="L134">
        <f t="shared" si="20"/>
        <v>19.2</v>
      </c>
      <c r="M134">
        <f t="shared" si="21"/>
        <v>6.4</v>
      </c>
      <c r="N134" t="s">
        <v>38</v>
      </c>
      <c r="O134">
        <f t="shared" si="23"/>
        <v>60</v>
      </c>
      <c r="P134">
        <v>1.2669999999999999</v>
      </c>
      <c r="Q134">
        <v>28</v>
      </c>
      <c r="R134">
        <f t="shared" si="25"/>
        <v>30</v>
      </c>
      <c r="S134">
        <v>0.13</v>
      </c>
    </row>
    <row r="135" spans="1:19" x14ac:dyDescent="0.25">
      <c r="A135">
        <f t="shared" si="17"/>
        <v>1006</v>
      </c>
      <c r="B135">
        <f t="shared" si="24"/>
        <v>2</v>
      </c>
      <c r="C135" t="s">
        <v>39</v>
      </c>
      <c r="D135">
        <v>6.34</v>
      </c>
      <c r="E135">
        <v>8.0000000000000004E-4</v>
      </c>
      <c r="F135">
        <v>216</v>
      </c>
      <c r="G135">
        <v>480</v>
      </c>
      <c r="H135" t="str">
        <f t="shared" si="18"/>
        <v>壤土</v>
      </c>
      <c r="I135">
        <f t="shared" si="16"/>
        <v>500</v>
      </c>
      <c r="J135">
        <f t="shared" si="19"/>
        <v>1000</v>
      </c>
      <c r="L135">
        <f t="shared" si="20"/>
        <v>19.2</v>
      </c>
      <c r="M135">
        <f t="shared" si="21"/>
        <v>6.4</v>
      </c>
      <c r="N135" t="s">
        <v>38</v>
      </c>
      <c r="O135">
        <f t="shared" si="23"/>
        <v>60</v>
      </c>
      <c r="P135">
        <v>0.50800000000000001</v>
      </c>
      <c r="Q135">
        <v>28</v>
      </c>
      <c r="R135">
        <f t="shared" si="25"/>
        <v>30</v>
      </c>
      <c r="S135">
        <v>0.13</v>
      </c>
    </row>
    <row r="136" spans="1:19" x14ac:dyDescent="0.25">
      <c r="A136">
        <f t="shared" si="17"/>
        <v>1006</v>
      </c>
      <c r="B136">
        <f t="shared" si="24"/>
        <v>2</v>
      </c>
      <c r="C136" t="s">
        <v>40</v>
      </c>
      <c r="D136">
        <v>6.04</v>
      </c>
      <c r="E136">
        <v>3.8E-3</v>
      </c>
      <c r="F136">
        <v>178</v>
      </c>
      <c r="G136">
        <v>495</v>
      </c>
      <c r="H136" t="str">
        <f t="shared" si="18"/>
        <v>壤土</v>
      </c>
      <c r="I136">
        <f t="shared" si="16"/>
        <v>500</v>
      </c>
      <c r="J136">
        <f t="shared" si="19"/>
        <v>1000</v>
      </c>
      <c r="L136">
        <f t="shared" si="20"/>
        <v>19.2</v>
      </c>
      <c r="M136">
        <f t="shared" si="21"/>
        <v>6.4</v>
      </c>
      <c r="N136" t="s">
        <v>38</v>
      </c>
      <c r="O136">
        <f t="shared" si="23"/>
        <v>60</v>
      </c>
      <c r="P136">
        <v>0.92400000000000004</v>
      </c>
      <c r="Q136">
        <v>28</v>
      </c>
      <c r="R136">
        <f t="shared" si="25"/>
        <v>30</v>
      </c>
      <c r="S136">
        <v>0.16</v>
      </c>
    </row>
    <row r="137" spans="1:19" x14ac:dyDescent="0.25">
      <c r="A137">
        <f t="shared" si="17"/>
        <v>1006</v>
      </c>
      <c r="B137">
        <f t="shared" si="24"/>
        <v>2</v>
      </c>
      <c r="C137" t="s">
        <v>41</v>
      </c>
      <c r="D137">
        <v>6.75</v>
      </c>
      <c r="E137">
        <v>2.9999999999999997E-4</v>
      </c>
      <c r="F137">
        <v>263</v>
      </c>
      <c r="G137">
        <v>524</v>
      </c>
      <c r="H137" t="str">
        <f t="shared" si="18"/>
        <v>壤土</v>
      </c>
      <c r="I137">
        <f t="shared" si="16"/>
        <v>500</v>
      </c>
      <c r="J137">
        <f t="shared" si="19"/>
        <v>1000</v>
      </c>
      <c r="L137">
        <f t="shared" si="20"/>
        <v>19.2</v>
      </c>
      <c r="M137">
        <f t="shared" si="21"/>
        <v>6.4</v>
      </c>
      <c r="N137" t="s">
        <v>38</v>
      </c>
      <c r="O137">
        <f t="shared" si="23"/>
        <v>60</v>
      </c>
      <c r="P137">
        <v>0.1019</v>
      </c>
      <c r="Q137">
        <v>28</v>
      </c>
      <c r="R137">
        <f t="shared" si="25"/>
        <v>30</v>
      </c>
      <c r="S137">
        <v>0.11</v>
      </c>
    </row>
    <row r="138" spans="1:19" x14ac:dyDescent="0.25">
      <c r="A138">
        <f t="shared" si="17"/>
        <v>1006</v>
      </c>
      <c r="B138">
        <f t="shared" si="24"/>
        <v>2</v>
      </c>
      <c r="C138" t="s">
        <v>42</v>
      </c>
      <c r="D138">
        <v>6.5</v>
      </c>
      <c r="E138">
        <v>2.5999999999999998E-4</v>
      </c>
      <c r="F138">
        <v>273</v>
      </c>
      <c r="G138">
        <v>552</v>
      </c>
      <c r="H138" t="str">
        <f t="shared" si="18"/>
        <v>壤土</v>
      </c>
      <c r="I138">
        <f t="shared" si="16"/>
        <v>500</v>
      </c>
      <c r="J138">
        <f t="shared" si="19"/>
        <v>1000</v>
      </c>
      <c r="L138">
        <f t="shared" si="20"/>
        <v>19.2</v>
      </c>
      <c r="M138">
        <f t="shared" si="21"/>
        <v>6.4</v>
      </c>
      <c r="N138" t="s">
        <v>43</v>
      </c>
      <c r="O138">
        <f t="shared" si="23"/>
        <v>60</v>
      </c>
      <c r="P138">
        <v>0.96699999999999997</v>
      </c>
      <c r="Q138">
        <v>28</v>
      </c>
      <c r="R138">
        <f t="shared" si="25"/>
        <v>30</v>
      </c>
      <c r="S138">
        <v>0.13</v>
      </c>
    </row>
    <row r="139" spans="1:19" x14ac:dyDescent="0.25">
      <c r="A139">
        <f t="shared" si="17"/>
        <v>1006</v>
      </c>
      <c r="B139">
        <f t="shared" si="24"/>
        <v>2</v>
      </c>
      <c r="C139" t="s">
        <v>33</v>
      </c>
      <c r="D139">
        <v>5.61</v>
      </c>
      <c r="E139">
        <v>2E-3</v>
      </c>
      <c r="F139">
        <v>255</v>
      </c>
      <c r="G139">
        <v>448</v>
      </c>
      <c r="H139" t="str">
        <f t="shared" si="18"/>
        <v>壤土</v>
      </c>
      <c r="I139">
        <f t="shared" si="16"/>
        <v>500</v>
      </c>
      <c r="J139">
        <f t="shared" si="19"/>
        <v>1000</v>
      </c>
      <c r="L139">
        <f t="shared" si="20"/>
        <v>19.2</v>
      </c>
      <c r="M139">
        <f t="shared" si="21"/>
        <v>6.4</v>
      </c>
      <c r="N139" t="s">
        <v>32</v>
      </c>
      <c r="O139">
        <f t="shared" si="23"/>
        <v>60</v>
      </c>
      <c r="P139">
        <v>0.95099999999999996</v>
      </c>
      <c r="Q139">
        <v>28</v>
      </c>
      <c r="R139">
        <f t="shared" si="25"/>
        <v>30</v>
      </c>
      <c r="S139">
        <v>0.14000000000000001</v>
      </c>
    </row>
    <row r="140" spans="1:19" x14ac:dyDescent="0.25">
      <c r="A140">
        <f t="shared" si="17"/>
        <v>1006</v>
      </c>
      <c r="B140">
        <f t="shared" si="24"/>
        <v>2</v>
      </c>
      <c r="C140" t="s">
        <v>44</v>
      </c>
      <c r="D140">
        <v>6.58</v>
      </c>
      <c r="E140">
        <v>2.3000000000000001E-4</v>
      </c>
      <c r="F140">
        <v>163</v>
      </c>
      <c r="G140">
        <v>536</v>
      </c>
      <c r="H140" t="str">
        <f t="shared" si="18"/>
        <v>壤土</v>
      </c>
      <c r="I140">
        <f t="shared" si="16"/>
        <v>500</v>
      </c>
      <c r="J140">
        <f t="shared" si="19"/>
        <v>1000</v>
      </c>
      <c r="L140">
        <f t="shared" si="20"/>
        <v>19.2</v>
      </c>
      <c r="M140">
        <f t="shared" si="21"/>
        <v>6.4</v>
      </c>
      <c r="N140" t="s">
        <v>43</v>
      </c>
      <c r="O140">
        <f t="shared" si="23"/>
        <v>60</v>
      </c>
      <c r="P140">
        <v>0.74199999999999999</v>
      </c>
      <c r="Q140">
        <v>28</v>
      </c>
      <c r="R140">
        <f t="shared" si="25"/>
        <v>30</v>
      </c>
      <c r="S140">
        <v>0.1</v>
      </c>
    </row>
    <row r="141" spans="1:19" x14ac:dyDescent="0.25">
      <c r="A141">
        <f t="shared" si="17"/>
        <v>1006</v>
      </c>
      <c r="B141">
        <v>3</v>
      </c>
      <c r="C141" t="s">
        <v>19</v>
      </c>
      <c r="D141">
        <v>4.95</v>
      </c>
      <c r="E141">
        <v>31.7</v>
      </c>
      <c r="F141">
        <v>171.19</v>
      </c>
      <c r="G141">
        <v>412.27</v>
      </c>
      <c r="H141" t="str">
        <f t="shared" si="18"/>
        <v>壤土</v>
      </c>
      <c r="I141">
        <f t="shared" si="16"/>
        <v>500</v>
      </c>
      <c r="J141">
        <f t="shared" si="19"/>
        <v>1000</v>
      </c>
      <c r="K141" t="s">
        <v>22</v>
      </c>
      <c r="L141">
        <f t="shared" si="20"/>
        <v>19.2</v>
      </c>
      <c r="M141">
        <f t="shared" si="21"/>
        <v>6.4</v>
      </c>
      <c r="N141" t="s">
        <v>23</v>
      </c>
      <c r="O141">
        <f t="shared" si="23"/>
        <v>60</v>
      </c>
      <c r="P141">
        <v>10.835000000000001</v>
      </c>
      <c r="Q141">
        <v>28</v>
      </c>
      <c r="R141">
        <f t="shared" si="25"/>
        <v>30</v>
      </c>
      <c r="S141">
        <v>0.03</v>
      </c>
    </row>
    <row r="142" spans="1:19" x14ac:dyDescent="0.25">
      <c r="A142">
        <f t="shared" si="17"/>
        <v>1006</v>
      </c>
      <c r="B142">
        <f>B141</f>
        <v>3</v>
      </c>
      <c r="C142" t="s">
        <v>28</v>
      </c>
      <c r="D142">
        <v>4.57</v>
      </c>
      <c r="E142">
        <v>1.1000000000000001</v>
      </c>
      <c r="F142">
        <v>100</v>
      </c>
      <c r="G142">
        <v>338</v>
      </c>
      <c r="H142" t="str">
        <f t="shared" si="18"/>
        <v>壤土</v>
      </c>
      <c r="I142">
        <f t="shared" si="16"/>
        <v>500</v>
      </c>
      <c r="J142">
        <f t="shared" si="19"/>
        <v>1000</v>
      </c>
      <c r="L142">
        <f t="shared" si="20"/>
        <v>19.2</v>
      </c>
      <c r="M142">
        <f t="shared" si="21"/>
        <v>6.4</v>
      </c>
      <c r="N142" t="s">
        <v>29</v>
      </c>
      <c r="O142">
        <f t="shared" si="23"/>
        <v>60</v>
      </c>
      <c r="P142">
        <v>0.59099999999999997</v>
      </c>
      <c r="Q142">
        <v>28</v>
      </c>
      <c r="R142">
        <f t="shared" si="25"/>
        <v>30</v>
      </c>
      <c r="S142">
        <v>0.13</v>
      </c>
    </row>
    <row r="143" spans="1:19" x14ac:dyDescent="0.25">
      <c r="A143">
        <f t="shared" si="17"/>
        <v>1006</v>
      </c>
      <c r="B143">
        <f t="shared" ref="B143:B154" si="26">B142</f>
        <v>3</v>
      </c>
      <c r="C143" t="s">
        <v>30</v>
      </c>
      <c r="D143">
        <v>4.88</v>
      </c>
      <c r="E143">
        <v>7.2999999999999995E-2</v>
      </c>
      <c r="F143">
        <v>216</v>
      </c>
      <c r="G143">
        <v>340</v>
      </c>
      <c r="H143" t="str">
        <f t="shared" si="18"/>
        <v>壤土</v>
      </c>
      <c r="I143">
        <f t="shared" si="16"/>
        <v>500</v>
      </c>
      <c r="J143">
        <f t="shared" si="19"/>
        <v>1000</v>
      </c>
      <c r="L143">
        <f t="shared" si="20"/>
        <v>19.2</v>
      </c>
      <c r="M143">
        <f t="shared" si="21"/>
        <v>6.4</v>
      </c>
      <c r="N143" t="s">
        <v>29</v>
      </c>
      <c r="O143">
        <f t="shared" si="23"/>
        <v>60</v>
      </c>
      <c r="P143">
        <v>7.8899999999999998E-2</v>
      </c>
      <c r="Q143">
        <v>28</v>
      </c>
      <c r="R143">
        <f t="shared" si="25"/>
        <v>30</v>
      </c>
      <c r="S143">
        <v>0.36</v>
      </c>
    </row>
    <row r="144" spans="1:19" x14ac:dyDescent="0.25">
      <c r="A144">
        <f t="shared" si="17"/>
        <v>1006</v>
      </c>
      <c r="B144">
        <f t="shared" si="26"/>
        <v>3</v>
      </c>
      <c r="C144" t="s">
        <v>34</v>
      </c>
      <c r="D144">
        <v>4.18</v>
      </c>
      <c r="E144">
        <v>1.68</v>
      </c>
      <c r="F144">
        <v>115</v>
      </c>
      <c r="G144">
        <v>295</v>
      </c>
      <c r="H144" t="str">
        <f t="shared" si="18"/>
        <v>壤土</v>
      </c>
      <c r="I144">
        <f t="shared" si="16"/>
        <v>500</v>
      </c>
      <c r="J144">
        <f t="shared" si="19"/>
        <v>1000</v>
      </c>
      <c r="L144">
        <f t="shared" si="20"/>
        <v>19.2</v>
      </c>
      <c r="M144">
        <f t="shared" si="21"/>
        <v>6.4</v>
      </c>
      <c r="N144" t="s">
        <v>29</v>
      </c>
      <c r="O144">
        <f t="shared" si="23"/>
        <v>60</v>
      </c>
      <c r="P144">
        <v>8.8800000000000004E-2</v>
      </c>
      <c r="Q144">
        <v>28</v>
      </c>
      <c r="R144">
        <f t="shared" si="25"/>
        <v>30</v>
      </c>
      <c r="S144">
        <v>0.65</v>
      </c>
    </row>
    <row r="145" spans="1:19" x14ac:dyDescent="0.25">
      <c r="A145">
        <f t="shared" si="17"/>
        <v>1006</v>
      </c>
      <c r="B145">
        <f t="shared" si="26"/>
        <v>3</v>
      </c>
      <c r="C145" t="s">
        <v>31</v>
      </c>
      <c r="D145">
        <v>5.22</v>
      </c>
      <c r="E145">
        <v>0.26</v>
      </c>
      <c r="F145">
        <v>110</v>
      </c>
      <c r="G145">
        <v>384</v>
      </c>
      <c r="H145" t="str">
        <f t="shared" si="18"/>
        <v>壤土</v>
      </c>
      <c r="I145">
        <f t="shared" si="16"/>
        <v>500</v>
      </c>
      <c r="J145">
        <f t="shared" si="19"/>
        <v>1000</v>
      </c>
      <c r="L145">
        <f t="shared" si="20"/>
        <v>19.2</v>
      </c>
      <c r="M145">
        <f t="shared" si="21"/>
        <v>6.4</v>
      </c>
      <c r="N145" t="s">
        <v>32</v>
      </c>
      <c r="O145">
        <f t="shared" si="23"/>
        <v>60</v>
      </c>
      <c r="P145">
        <v>2.15</v>
      </c>
      <c r="Q145">
        <v>28</v>
      </c>
      <c r="R145">
        <f t="shared" si="25"/>
        <v>30</v>
      </c>
      <c r="S145">
        <v>0</v>
      </c>
    </row>
    <row r="146" spans="1:19" x14ac:dyDescent="0.25">
      <c r="A146">
        <f t="shared" si="17"/>
        <v>1006</v>
      </c>
      <c r="B146">
        <f t="shared" si="26"/>
        <v>3</v>
      </c>
      <c r="C146" t="s">
        <v>35</v>
      </c>
      <c r="D146">
        <v>5.18</v>
      </c>
      <c r="E146">
        <v>0.13200000000000001</v>
      </c>
      <c r="F146">
        <v>150</v>
      </c>
      <c r="G146">
        <v>393</v>
      </c>
      <c r="H146" t="str">
        <f t="shared" si="18"/>
        <v>壤土</v>
      </c>
      <c r="I146">
        <f t="shared" si="16"/>
        <v>500</v>
      </c>
      <c r="J146">
        <f t="shared" si="19"/>
        <v>1000</v>
      </c>
      <c r="L146">
        <f t="shared" si="20"/>
        <v>19.2</v>
      </c>
      <c r="M146">
        <f t="shared" si="21"/>
        <v>6.4</v>
      </c>
      <c r="N146" t="s">
        <v>32</v>
      </c>
      <c r="O146">
        <f t="shared" si="23"/>
        <v>60</v>
      </c>
      <c r="P146">
        <v>1.6080000000000001</v>
      </c>
      <c r="Q146">
        <v>28</v>
      </c>
      <c r="R146">
        <f t="shared" si="25"/>
        <v>30</v>
      </c>
      <c r="S146">
        <v>0.04</v>
      </c>
    </row>
    <row r="147" spans="1:19" x14ac:dyDescent="0.25">
      <c r="A147">
        <f t="shared" si="17"/>
        <v>1006</v>
      </c>
      <c r="B147">
        <f t="shared" si="26"/>
        <v>3</v>
      </c>
      <c r="C147" t="s">
        <v>36</v>
      </c>
      <c r="D147">
        <v>5.91</v>
      </c>
      <c r="E147">
        <v>1.0999999999999999E-2</v>
      </c>
      <c r="F147">
        <v>159</v>
      </c>
      <c r="G147">
        <v>436</v>
      </c>
      <c r="H147" t="str">
        <f t="shared" si="18"/>
        <v>壤土</v>
      </c>
      <c r="I147">
        <f t="shared" si="16"/>
        <v>500</v>
      </c>
      <c r="J147">
        <f t="shared" si="19"/>
        <v>1000</v>
      </c>
      <c r="L147">
        <f t="shared" si="20"/>
        <v>19.2</v>
      </c>
      <c r="M147">
        <f t="shared" si="21"/>
        <v>6.4</v>
      </c>
      <c r="N147" t="s">
        <v>32</v>
      </c>
      <c r="O147">
        <f t="shared" si="23"/>
        <v>60</v>
      </c>
      <c r="P147">
        <v>0.85699999999999998</v>
      </c>
      <c r="Q147">
        <v>28</v>
      </c>
      <c r="R147">
        <f t="shared" si="25"/>
        <v>30</v>
      </c>
      <c r="S147">
        <v>0.04</v>
      </c>
    </row>
    <row r="148" spans="1:19" x14ac:dyDescent="0.25">
      <c r="A148">
        <f t="shared" si="17"/>
        <v>1006</v>
      </c>
      <c r="B148">
        <f t="shared" si="26"/>
        <v>3</v>
      </c>
      <c r="C148" t="s">
        <v>37</v>
      </c>
      <c r="D148">
        <v>6.04</v>
      </c>
      <c r="E148">
        <v>1.5E-3</v>
      </c>
      <c r="F148">
        <v>168</v>
      </c>
      <c r="G148">
        <v>470</v>
      </c>
      <c r="H148" t="str">
        <f t="shared" si="18"/>
        <v>壤土</v>
      </c>
      <c r="I148">
        <f t="shared" si="16"/>
        <v>500</v>
      </c>
      <c r="J148">
        <f t="shared" si="19"/>
        <v>1000</v>
      </c>
      <c r="L148">
        <f t="shared" si="20"/>
        <v>19.2</v>
      </c>
      <c r="M148">
        <f t="shared" si="21"/>
        <v>6.4</v>
      </c>
      <c r="N148" t="s">
        <v>38</v>
      </c>
      <c r="O148">
        <f t="shared" si="23"/>
        <v>60</v>
      </c>
      <c r="P148">
        <v>1.2669999999999999</v>
      </c>
      <c r="Q148">
        <v>28</v>
      </c>
      <c r="R148">
        <f t="shared" si="25"/>
        <v>30</v>
      </c>
      <c r="S148">
        <v>0</v>
      </c>
    </row>
    <row r="149" spans="1:19" x14ac:dyDescent="0.25">
      <c r="A149">
        <f t="shared" si="17"/>
        <v>1006</v>
      </c>
      <c r="B149">
        <f t="shared" si="26"/>
        <v>3</v>
      </c>
      <c r="C149" t="s">
        <v>39</v>
      </c>
      <c r="D149">
        <v>6.34</v>
      </c>
      <c r="E149">
        <v>8.0000000000000004E-4</v>
      </c>
      <c r="F149">
        <v>216</v>
      </c>
      <c r="G149">
        <v>480</v>
      </c>
      <c r="H149" t="str">
        <f t="shared" si="18"/>
        <v>壤土</v>
      </c>
      <c r="I149">
        <f t="shared" si="16"/>
        <v>500</v>
      </c>
      <c r="J149">
        <f t="shared" si="19"/>
        <v>1000</v>
      </c>
      <c r="L149">
        <f t="shared" si="20"/>
        <v>19.2</v>
      </c>
      <c r="M149">
        <f t="shared" si="21"/>
        <v>6.4</v>
      </c>
      <c r="N149" t="s">
        <v>38</v>
      </c>
      <c r="O149">
        <f t="shared" si="23"/>
        <v>60</v>
      </c>
      <c r="P149">
        <v>0.50800000000000001</v>
      </c>
      <c r="Q149">
        <v>28</v>
      </c>
      <c r="R149">
        <f t="shared" si="25"/>
        <v>30</v>
      </c>
      <c r="S149">
        <v>0</v>
      </c>
    </row>
    <row r="150" spans="1:19" x14ac:dyDescent="0.25">
      <c r="A150">
        <f t="shared" si="17"/>
        <v>1006</v>
      </c>
      <c r="B150">
        <f t="shared" si="26"/>
        <v>3</v>
      </c>
      <c r="C150" t="s">
        <v>40</v>
      </c>
      <c r="D150">
        <v>6.04</v>
      </c>
      <c r="E150">
        <v>3.8E-3</v>
      </c>
      <c r="F150">
        <v>178</v>
      </c>
      <c r="G150">
        <v>495</v>
      </c>
      <c r="H150" t="str">
        <f t="shared" si="18"/>
        <v>壤土</v>
      </c>
      <c r="I150">
        <f t="shared" si="16"/>
        <v>500</v>
      </c>
      <c r="J150">
        <f t="shared" si="19"/>
        <v>1000</v>
      </c>
      <c r="L150">
        <f t="shared" si="20"/>
        <v>19.2</v>
      </c>
      <c r="M150">
        <f t="shared" si="21"/>
        <v>6.4</v>
      </c>
      <c r="N150" t="s">
        <v>38</v>
      </c>
      <c r="O150">
        <f t="shared" si="23"/>
        <v>60</v>
      </c>
      <c r="P150">
        <v>0.92400000000000004</v>
      </c>
      <c r="Q150">
        <v>28</v>
      </c>
      <c r="R150">
        <f t="shared" si="25"/>
        <v>30</v>
      </c>
      <c r="S150">
        <v>0.19</v>
      </c>
    </row>
    <row r="151" spans="1:19" x14ac:dyDescent="0.25">
      <c r="A151">
        <f t="shared" si="17"/>
        <v>1006</v>
      </c>
      <c r="B151">
        <f t="shared" si="26"/>
        <v>3</v>
      </c>
      <c r="C151" t="s">
        <v>41</v>
      </c>
      <c r="D151">
        <v>6.75</v>
      </c>
      <c r="E151">
        <v>2.9999999999999997E-4</v>
      </c>
      <c r="F151">
        <v>263</v>
      </c>
      <c r="G151">
        <v>524</v>
      </c>
      <c r="H151" t="str">
        <f t="shared" si="18"/>
        <v>壤土</v>
      </c>
      <c r="I151">
        <f t="shared" si="16"/>
        <v>500</v>
      </c>
      <c r="J151">
        <f t="shared" si="19"/>
        <v>1000</v>
      </c>
      <c r="L151">
        <f t="shared" si="20"/>
        <v>19.2</v>
      </c>
      <c r="M151">
        <f t="shared" si="21"/>
        <v>6.4</v>
      </c>
      <c r="N151" t="s">
        <v>38</v>
      </c>
      <c r="O151">
        <f t="shared" si="23"/>
        <v>60</v>
      </c>
      <c r="P151">
        <v>0.1019</v>
      </c>
      <c r="Q151">
        <v>28</v>
      </c>
      <c r="R151">
        <f t="shared" si="25"/>
        <v>30</v>
      </c>
      <c r="S151">
        <v>0</v>
      </c>
    </row>
    <row r="152" spans="1:19" x14ac:dyDescent="0.25">
      <c r="A152">
        <f t="shared" si="17"/>
        <v>1006</v>
      </c>
      <c r="B152">
        <f t="shared" si="26"/>
        <v>3</v>
      </c>
      <c r="C152" t="s">
        <v>42</v>
      </c>
      <c r="D152">
        <v>6.5</v>
      </c>
      <c r="E152">
        <v>2.5999999999999998E-4</v>
      </c>
      <c r="F152">
        <v>273</v>
      </c>
      <c r="G152">
        <v>552</v>
      </c>
      <c r="H152" t="str">
        <f t="shared" si="18"/>
        <v>壤土</v>
      </c>
      <c r="I152">
        <f t="shared" si="16"/>
        <v>500</v>
      </c>
      <c r="J152">
        <f t="shared" si="19"/>
        <v>1000</v>
      </c>
      <c r="L152">
        <f t="shared" si="20"/>
        <v>19.2</v>
      </c>
      <c r="M152">
        <f t="shared" si="21"/>
        <v>6.4</v>
      </c>
      <c r="N152" t="s">
        <v>43</v>
      </c>
      <c r="O152">
        <f t="shared" si="23"/>
        <v>60</v>
      </c>
      <c r="P152">
        <v>0.96699999999999997</v>
      </c>
      <c r="Q152">
        <v>28</v>
      </c>
      <c r="R152">
        <f t="shared" si="25"/>
        <v>30</v>
      </c>
      <c r="S152">
        <v>0</v>
      </c>
    </row>
    <row r="153" spans="1:19" x14ac:dyDescent="0.25">
      <c r="A153">
        <f t="shared" si="17"/>
        <v>1006</v>
      </c>
      <c r="B153">
        <f t="shared" si="26"/>
        <v>3</v>
      </c>
      <c r="C153" t="s">
        <v>33</v>
      </c>
      <c r="D153">
        <v>5.61</v>
      </c>
      <c r="E153">
        <v>2E-3</v>
      </c>
      <c r="F153">
        <v>255</v>
      </c>
      <c r="G153">
        <v>448</v>
      </c>
      <c r="H153" t="str">
        <f t="shared" si="18"/>
        <v>壤土</v>
      </c>
      <c r="I153">
        <f t="shared" si="16"/>
        <v>500</v>
      </c>
      <c r="J153">
        <f t="shared" si="19"/>
        <v>1000</v>
      </c>
      <c r="L153">
        <f t="shared" si="20"/>
        <v>19.2</v>
      </c>
      <c r="M153">
        <f t="shared" si="21"/>
        <v>6.4</v>
      </c>
      <c r="N153" t="s">
        <v>32</v>
      </c>
      <c r="O153">
        <f t="shared" si="23"/>
        <v>60</v>
      </c>
      <c r="P153">
        <v>0.95099999999999996</v>
      </c>
      <c r="Q153">
        <v>28</v>
      </c>
      <c r="R153">
        <f t="shared" si="25"/>
        <v>30</v>
      </c>
      <c r="S153">
        <v>0</v>
      </c>
    </row>
    <row r="154" spans="1:19" x14ac:dyDescent="0.25">
      <c r="A154">
        <f t="shared" si="17"/>
        <v>1006</v>
      </c>
      <c r="B154">
        <f t="shared" si="26"/>
        <v>3</v>
      </c>
      <c r="C154" t="s">
        <v>44</v>
      </c>
      <c r="D154">
        <v>6.58</v>
      </c>
      <c r="E154">
        <v>2.3000000000000001E-4</v>
      </c>
      <c r="F154">
        <v>163</v>
      </c>
      <c r="G154">
        <v>536</v>
      </c>
      <c r="H154" t="str">
        <f t="shared" si="18"/>
        <v>壤土</v>
      </c>
      <c r="I154">
        <f t="shared" si="16"/>
        <v>500</v>
      </c>
      <c r="J154">
        <f t="shared" si="19"/>
        <v>1000</v>
      </c>
      <c r="L154">
        <f t="shared" si="20"/>
        <v>19.2</v>
      </c>
      <c r="M154">
        <f t="shared" si="21"/>
        <v>6.4</v>
      </c>
      <c r="N154" t="s">
        <v>43</v>
      </c>
      <c r="O154">
        <f t="shared" si="23"/>
        <v>60</v>
      </c>
      <c r="P154">
        <v>0.74199999999999999</v>
      </c>
      <c r="Q154">
        <v>28</v>
      </c>
      <c r="R154">
        <f t="shared" si="25"/>
        <v>30</v>
      </c>
      <c r="S154">
        <v>0</v>
      </c>
    </row>
    <row r="155" spans="1:19" ht="13.2" customHeight="1" x14ac:dyDescent="0.25">
      <c r="A155">
        <v>1007</v>
      </c>
      <c r="B155">
        <v>1</v>
      </c>
      <c r="C155" t="s">
        <v>28</v>
      </c>
      <c r="D155">
        <v>4.57</v>
      </c>
      <c r="E155">
        <v>1.1000000000000001</v>
      </c>
      <c r="F155">
        <v>340</v>
      </c>
      <c r="G155">
        <v>101</v>
      </c>
      <c r="H155" t="s">
        <v>24</v>
      </c>
      <c r="I155">
        <v>23</v>
      </c>
      <c r="J155">
        <v>630</v>
      </c>
      <c r="K155" t="s">
        <v>22</v>
      </c>
      <c r="L155">
        <v>24</v>
      </c>
      <c r="M155">
        <v>8.4</v>
      </c>
      <c r="N155" t="s">
        <v>29</v>
      </c>
      <c r="O155">
        <v>30</v>
      </c>
      <c r="P155">
        <v>330</v>
      </c>
      <c r="Q155">
        <v>30</v>
      </c>
      <c r="R155">
        <v>14</v>
      </c>
      <c r="S155">
        <v>0.91</v>
      </c>
    </row>
    <row r="156" spans="1:19" x14ac:dyDescent="0.25">
      <c r="A156">
        <v>1007</v>
      </c>
      <c r="B156">
        <v>1</v>
      </c>
      <c r="C156" t="s">
        <v>35</v>
      </c>
      <c r="D156">
        <v>5.18</v>
      </c>
      <c r="E156">
        <v>0.13200000000000001</v>
      </c>
      <c r="F156">
        <v>393</v>
      </c>
      <c r="G156">
        <v>150</v>
      </c>
      <c r="H156" t="str">
        <f>H155</f>
        <v>砂土</v>
      </c>
      <c r="I156">
        <f t="shared" ref="I156:I166" si="27">I155</f>
        <v>23</v>
      </c>
      <c r="J156">
        <f>J155</f>
        <v>630</v>
      </c>
      <c r="K156" t="s">
        <v>22</v>
      </c>
      <c r="L156">
        <v>24</v>
      </c>
      <c r="M156">
        <v>8.4</v>
      </c>
      <c r="N156" t="s">
        <v>32</v>
      </c>
      <c r="O156">
        <f t="shared" si="23"/>
        <v>30</v>
      </c>
      <c r="P156">
        <v>330</v>
      </c>
      <c r="Q156">
        <v>30</v>
      </c>
      <c r="R156">
        <v>14</v>
      </c>
      <c r="S156">
        <v>0.64</v>
      </c>
    </row>
    <row r="157" spans="1:19" x14ac:dyDescent="0.25">
      <c r="A157">
        <v>1007</v>
      </c>
      <c r="B157">
        <v>1</v>
      </c>
      <c r="C157" t="s">
        <v>40</v>
      </c>
      <c r="D157">
        <v>6.04</v>
      </c>
      <c r="E157">
        <v>3.8E-3</v>
      </c>
      <c r="F157">
        <v>400</v>
      </c>
      <c r="G157">
        <v>150</v>
      </c>
      <c r="H157" t="str">
        <f t="shared" ref="H157:H166" si="28">H156</f>
        <v>砂土</v>
      </c>
      <c r="I157">
        <f t="shared" si="27"/>
        <v>23</v>
      </c>
      <c r="J157">
        <f t="shared" ref="J157:J166" si="29">J156</f>
        <v>630</v>
      </c>
      <c r="K157" t="s">
        <v>22</v>
      </c>
      <c r="L157">
        <v>24</v>
      </c>
      <c r="M157">
        <v>8.4</v>
      </c>
      <c r="N157" t="s">
        <v>38</v>
      </c>
      <c r="O157">
        <f t="shared" si="23"/>
        <v>30</v>
      </c>
      <c r="P157">
        <v>330</v>
      </c>
      <c r="Q157">
        <v>30</v>
      </c>
      <c r="R157">
        <v>14</v>
      </c>
      <c r="S157">
        <v>0.65</v>
      </c>
    </row>
    <row r="158" spans="1:19" x14ac:dyDescent="0.25">
      <c r="A158">
        <v>1007</v>
      </c>
      <c r="B158">
        <v>2</v>
      </c>
      <c r="C158" t="s">
        <v>28</v>
      </c>
      <c r="D158">
        <v>4.57</v>
      </c>
      <c r="E158">
        <v>1.1000000000000001</v>
      </c>
      <c r="F158">
        <v>340</v>
      </c>
      <c r="G158">
        <v>101</v>
      </c>
      <c r="H158" t="str">
        <f t="shared" si="28"/>
        <v>砂土</v>
      </c>
      <c r="I158">
        <f t="shared" si="27"/>
        <v>23</v>
      </c>
      <c r="J158">
        <f t="shared" si="29"/>
        <v>630</v>
      </c>
      <c r="K158" t="s">
        <v>22</v>
      </c>
      <c r="L158">
        <v>24</v>
      </c>
      <c r="M158">
        <v>8.4</v>
      </c>
      <c r="N158" t="s">
        <v>29</v>
      </c>
      <c r="O158">
        <f t="shared" si="23"/>
        <v>30</v>
      </c>
      <c r="P158">
        <v>330</v>
      </c>
      <c r="Q158">
        <v>30</v>
      </c>
      <c r="R158">
        <v>14</v>
      </c>
      <c r="S158">
        <v>0.82</v>
      </c>
    </row>
    <row r="159" spans="1:19" x14ac:dyDescent="0.25">
      <c r="A159">
        <v>1007</v>
      </c>
      <c r="B159">
        <v>2</v>
      </c>
      <c r="C159" t="s">
        <v>35</v>
      </c>
      <c r="D159">
        <v>5.18</v>
      </c>
      <c r="E159">
        <v>0.13200000000000001</v>
      </c>
      <c r="F159">
        <v>393</v>
      </c>
      <c r="G159">
        <v>150</v>
      </c>
      <c r="H159" t="str">
        <f t="shared" si="28"/>
        <v>砂土</v>
      </c>
      <c r="I159">
        <f t="shared" si="27"/>
        <v>23</v>
      </c>
      <c r="J159">
        <f t="shared" si="29"/>
        <v>630</v>
      </c>
      <c r="K159" t="s">
        <v>22</v>
      </c>
      <c r="L159">
        <v>24</v>
      </c>
      <c r="M159">
        <v>8.4</v>
      </c>
      <c r="N159" t="s">
        <v>32</v>
      </c>
      <c r="O159">
        <f t="shared" si="23"/>
        <v>30</v>
      </c>
      <c r="P159">
        <v>330</v>
      </c>
      <c r="Q159">
        <v>30</v>
      </c>
      <c r="R159">
        <v>14</v>
      </c>
      <c r="S159">
        <v>0.52</v>
      </c>
    </row>
    <row r="160" spans="1:19" x14ac:dyDescent="0.25">
      <c r="A160">
        <v>1007</v>
      </c>
      <c r="B160">
        <v>2</v>
      </c>
      <c r="C160" t="s">
        <v>40</v>
      </c>
      <c r="D160">
        <v>6.04</v>
      </c>
      <c r="E160">
        <v>3.8E-3</v>
      </c>
      <c r="F160">
        <v>400</v>
      </c>
      <c r="G160">
        <v>150</v>
      </c>
      <c r="H160" t="str">
        <f t="shared" si="28"/>
        <v>砂土</v>
      </c>
      <c r="I160">
        <f t="shared" si="27"/>
        <v>23</v>
      </c>
      <c r="J160">
        <f t="shared" si="29"/>
        <v>630</v>
      </c>
      <c r="K160" t="s">
        <v>22</v>
      </c>
      <c r="L160">
        <v>24</v>
      </c>
      <c r="M160">
        <v>8.4</v>
      </c>
      <c r="N160" t="s">
        <v>38</v>
      </c>
      <c r="O160">
        <f t="shared" si="23"/>
        <v>30</v>
      </c>
      <c r="P160">
        <v>330</v>
      </c>
      <c r="Q160">
        <v>30</v>
      </c>
      <c r="R160">
        <v>14</v>
      </c>
      <c r="S160">
        <v>0.55000000000000004</v>
      </c>
    </row>
    <row r="161" spans="1:19" x14ac:dyDescent="0.25">
      <c r="A161">
        <v>1007</v>
      </c>
      <c r="B161">
        <v>3</v>
      </c>
      <c r="C161" t="s">
        <v>28</v>
      </c>
      <c r="D161">
        <v>4.57</v>
      </c>
      <c r="E161">
        <v>1.1000000000000001</v>
      </c>
      <c r="F161">
        <v>340</v>
      </c>
      <c r="G161">
        <v>101</v>
      </c>
      <c r="H161" t="str">
        <f t="shared" si="28"/>
        <v>砂土</v>
      </c>
      <c r="I161">
        <f t="shared" si="27"/>
        <v>23</v>
      </c>
      <c r="J161">
        <f t="shared" si="29"/>
        <v>630</v>
      </c>
      <c r="K161" t="s">
        <v>22</v>
      </c>
      <c r="L161">
        <v>24</v>
      </c>
      <c r="M161">
        <v>8.4</v>
      </c>
      <c r="N161" t="s">
        <v>29</v>
      </c>
      <c r="O161">
        <f t="shared" si="23"/>
        <v>30</v>
      </c>
      <c r="P161">
        <v>330</v>
      </c>
      <c r="Q161">
        <v>30</v>
      </c>
      <c r="R161">
        <v>14</v>
      </c>
      <c r="S161">
        <v>0.54</v>
      </c>
    </row>
    <row r="162" spans="1:19" x14ac:dyDescent="0.25">
      <c r="A162">
        <v>1007</v>
      </c>
      <c r="B162">
        <v>3</v>
      </c>
      <c r="C162" t="s">
        <v>35</v>
      </c>
      <c r="D162">
        <v>5.18</v>
      </c>
      <c r="E162">
        <v>0.13200000000000001</v>
      </c>
      <c r="F162">
        <v>393</v>
      </c>
      <c r="G162">
        <v>150</v>
      </c>
      <c r="H162" t="str">
        <f t="shared" si="28"/>
        <v>砂土</v>
      </c>
      <c r="I162">
        <f t="shared" si="27"/>
        <v>23</v>
      </c>
      <c r="J162">
        <f t="shared" si="29"/>
        <v>630</v>
      </c>
      <c r="K162" t="s">
        <v>22</v>
      </c>
      <c r="L162">
        <v>24</v>
      </c>
      <c r="M162">
        <v>8.4</v>
      </c>
      <c r="N162" t="s">
        <v>32</v>
      </c>
      <c r="O162">
        <f t="shared" si="23"/>
        <v>30</v>
      </c>
      <c r="P162">
        <v>330</v>
      </c>
      <c r="Q162">
        <v>30</v>
      </c>
      <c r="R162">
        <v>14</v>
      </c>
      <c r="S162">
        <v>0.54</v>
      </c>
    </row>
    <row r="163" spans="1:19" x14ac:dyDescent="0.25">
      <c r="A163">
        <v>1007</v>
      </c>
      <c r="B163">
        <v>3</v>
      </c>
      <c r="C163" t="s">
        <v>40</v>
      </c>
      <c r="D163">
        <v>6.04</v>
      </c>
      <c r="E163">
        <v>3.8E-3</v>
      </c>
      <c r="F163">
        <v>400</v>
      </c>
      <c r="G163">
        <v>150</v>
      </c>
      <c r="H163" t="str">
        <f t="shared" si="28"/>
        <v>砂土</v>
      </c>
      <c r="I163">
        <f t="shared" si="27"/>
        <v>23</v>
      </c>
      <c r="J163">
        <f t="shared" si="29"/>
        <v>630</v>
      </c>
      <c r="K163" t="s">
        <v>22</v>
      </c>
      <c r="L163">
        <v>24</v>
      </c>
      <c r="M163">
        <v>8.4</v>
      </c>
      <c r="N163" t="s">
        <v>38</v>
      </c>
      <c r="O163">
        <f t="shared" si="23"/>
        <v>30</v>
      </c>
      <c r="P163">
        <v>330</v>
      </c>
      <c r="Q163">
        <v>30</v>
      </c>
      <c r="R163">
        <v>14</v>
      </c>
      <c r="S163">
        <v>0.61</v>
      </c>
    </row>
    <row r="164" spans="1:19" x14ac:dyDescent="0.25">
      <c r="A164">
        <v>1007</v>
      </c>
      <c r="B164">
        <v>4</v>
      </c>
      <c r="C164" t="s">
        <v>28</v>
      </c>
      <c r="D164">
        <v>4.57</v>
      </c>
      <c r="E164">
        <v>1.1000000000000001</v>
      </c>
      <c r="F164">
        <v>340</v>
      </c>
      <c r="G164">
        <v>101</v>
      </c>
      <c r="H164" t="str">
        <f t="shared" si="28"/>
        <v>砂土</v>
      </c>
      <c r="I164">
        <f t="shared" si="27"/>
        <v>23</v>
      </c>
      <c r="J164">
        <f t="shared" si="29"/>
        <v>630</v>
      </c>
      <c r="L164">
        <v>24</v>
      </c>
      <c r="M164">
        <v>8.4</v>
      </c>
      <c r="N164" t="s">
        <v>29</v>
      </c>
      <c r="O164">
        <v>30</v>
      </c>
      <c r="P164">
        <v>330</v>
      </c>
      <c r="Q164">
        <v>30</v>
      </c>
      <c r="R164">
        <v>14</v>
      </c>
      <c r="S164">
        <v>0.78</v>
      </c>
    </row>
    <row r="165" spans="1:19" x14ac:dyDescent="0.25">
      <c r="A165">
        <v>1007</v>
      </c>
      <c r="B165">
        <v>4</v>
      </c>
      <c r="C165" t="s">
        <v>35</v>
      </c>
      <c r="D165">
        <v>5.18</v>
      </c>
      <c r="E165">
        <v>0.13200000000000001</v>
      </c>
      <c r="F165">
        <v>393</v>
      </c>
      <c r="G165">
        <v>150</v>
      </c>
      <c r="H165" t="str">
        <f t="shared" si="28"/>
        <v>砂土</v>
      </c>
      <c r="I165">
        <f t="shared" si="27"/>
        <v>23</v>
      </c>
      <c r="J165">
        <f t="shared" si="29"/>
        <v>630</v>
      </c>
      <c r="K165" t="s">
        <v>22</v>
      </c>
      <c r="L165">
        <v>24</v>
      </c>
      <c r="M165">
        <v>8.4</v>
      </c>
      <c r="N165" t="s">
        <v>32</v>
      </c>
      <c r="O165">
        <f>O163</f>
        <v>30</v>
      </c>
      <c r="P165">
        <v>330</v>
      </c>
      <c r="Q165">
        <v>30</v>
      </c>
      <c r="R165">
        <v>14</v>
      </c>
      <c r="S165">
        <v>0.31</v>
      </c>
    </row>
    <row r="166" spans="1:19" x14ac:dyDescent="0.25">
      <c r="A166">
        <v>1007</v>
      </c>
      <c r="B166">
        <v>4</v>
      </c>
      <c r="C166" t="s">
        <v>40</v>
      </c>
      <c r="D166">
        <v>6.04</v>
      </c>
      <c r="E166">
        <v>3.8E-3</v>
      </c>
      <c r="F166">
        <v>400</v>
      </c>
      <c r="G166">
        <v>150</v>
      </c>
      <c r="H166" t="str">
        <f t="shared" si="28"/>
        <v>砂土</v>
      </c>
      <c r="I166">
        <f t="shared" si="27"/>
        <v>23</v>
      </c>
      <c r="J166">
        <f t="shared" si="29"/>
        <v>630</v>
      </c>
      <c r="K166" t="s">
        <v>22</v>
      </c>
      <c r="L166">
        <v>24</v>
      </c>
      <c r="M166">
        <v>8.4</v>
      </c>
      <c r="N166" t="s">
        <v>38</v>
      </c>
      <c r="O166">
        <f t="shared" si="23"/>
        <v>30</v>
      </c>
      <c r="P166">
        <v>330</v>
      </c>
      <c r="Q166">
        <v>30</v>
      </c>
      <c r="R166">
        <v>14</v>
      </c>
      <c r="S166">
        <v>0.52</v>
      </c>
    </row>
    <row r="167" spans="1:19" x14ac:dyDescent="0.25">
      <c r="A167">
        <v>1008</v>
      </c>
      <c r="B167">
        <v>1</v>
      </c>
      <c r="C167" t="s">
        <v>28</v>
      </c>
      <c r="D167">
        <v>4.57</v>
      </c>
      <c r="E167">
        <v>1.1000000000000001</v>
      </c>
      <c r="F167">
        <v>340</v>
      </c>
      <c r="G167">
        <v>101</v>
      </c>
      <c r="H167" t="s">
        <v>22</v>
      </c>
      <c r="I167">
        <v>400</v>
      </c>
      <c r="J167">
        <v>900</v>
      </c>
      <c r="K167" t="s">
        <v>22</v>
      </c>
      <c r="L167">
        <v>19.399999999999999</v>
      </c>
      <c r="M167">
        <v>6.6</v>
      </c>
      <c r="N167" t="s">
        <v>29</v>
      </c>
      <c r="O167">
        <v>60</v>
      </c>
      <c r="P167">
        <v>8</v>
      </c>
      <c r="Q167">
        <v>28</v>
      </c>
      <c r="R167">
        <v>7</v>
      </c>
      <c r="S167">
        <v>0.63</v>
      </c>
    </row>
    <row r="168" spans="1:19" x14ac:dyDescent="0.25">
      <c r="A168">
        <v>1008</v>
      </c>
      <c r="B168">
        <v>1</v>
      </c>
      <c r="C168" t="s">
        <v>28</v>
      </c>
      <c r="D168">
        <v>4.57</v>
      </c>
      <c r="E168">
        <v>1.1000000000000001</v>
      </c>
      <c r="F168">
        <v>340</v>
      </c>
      <c r="G168">
        <v>101</v>
      </c>
      <c r="H168" t="s">
        <v>22</v>
      </c>
      <c r="I168">
        <v>400</v>
      </c>
      <c r="J168">
        <v>900</v>
      </c>
      <c r="K168" t="s">
        <v>22</v>
      </c>
      <c r="L168">
        <v>19.399999999999999</v>
      </c>
      <c r="M168">
        <v>6.6</v>
      </c>
      <c r="N168" t="s">
        <v>29</v>
      </c>
      <c r="O168">
        <f t="shared" si="23"/>
        <v>60</v>
      </c>
      <c r="P168">
        <v>8</v>
      </c>
      <c r="Q168">
        <v>28</v>
      </c>
      <c r="R168">
        <v>14</v>
      </c>
      <c r="S168">
        <v>0.83</v>
      </c>
    </row>
    <row r="169" spans="1:19" x14ac:dyDescent="0.25">
      <c r="A169">
        <v>1008</v>
      </c>
      <c r="B169">
        <v>1</v>
      </c>
      <c r="C169" t="s">
        <v>28</v>
      </c>
      <c r="D169">
        <v>4.57</v>
      </c>
      <c r="E169">
        <v>1.1000000000000001</v>
      </c>
      <c r="F169">
        <v>340</v>
      </c>
      <c r="G169">
        <v>101</v>
      </c>
      <c r="H169" t="s">
        <v>22</v>
      </c>
      <c r="I169">
        <v>400</v>
      </c>
      <c r="J169">
        <v>900</v>
      </c>
      <c r="K169" t="s">
        <v>22</v>
      </c>
      <c r="L169">
        <v>19.399999999999999</v>
      </c>
      <c r="M169">
        <v>6.6</v>
      </c>
      <c r="N169" t="s">
        <v>29</v>
      </c>
      <c r="O169">
        <f t="shared" si="23"/>
        <v>60</v>
      </c>
      <c r="P169">
        <v>8</v>
      </c>
      <c r="Q169">
        <v>28</v>
      </c>
      <c r="R169">
        <v>21</v>
      </c>
      <c r="S169">
        <v>0.88</v>
      </c>
    </row>
    <row r="170" spans="1:19" x14ac:dyDescent="0.25">
      <c r="A170">
        <v>1008</v>
      </c>
      <c r="B170">
        <v>1</v>
      </c>
      <c r="C170" t="s">
        <v>28</v>
      </c>
      <c r="D170">
        <v>4.57</v>
      </c>
      <c r="E170">
        <v>1.1000000000000001</v>
      </c>
      <c r="F170">
        <v>340</v>
      </c>
      <c r="G170">
        <v>101</v>
      </c>
      <c r="H170" t="s">
        <v>22</v>
      </c>
      <c r="I170">
        <v>400</v>
      </c>
      <c r="J170">
        <v>900</v>
      </c>
      <c r="K170" t="s">
        <v>22</v>
      </c>
      <c r="L170">
        <v>19.399999999999999</v>
      </c>
      <c r="M170">
        <v>6.6</v>
      </c>
      <c r="N170" t="s">
        <v>29</v>
      </c>
      <c r="O170">
        <v>60</v>
      </c>
      <c r="P170">
        <v>8</v>
      </c>
      <c r="Q170">
        <v>28</v>
      </c>
      <c r="R170">
        <v>28</v>
      </c>
      <c r="S170">
        <v>0.89</v>
      </c>
    </row>
    <row r="171" spans="1:19" x14ac:dyDescent="0.25">
      <c r="A171">
        <v>1008</v>
      </c>
      <c r="B171">
        <v>1</v>
      </c>
      <c r="C171" t="s">
        <v>40</v>
      </c>
      <c r="D171">
        <v>6.04</v>
      </c>
      <c r="E171">
        <v>3.8E-3</v>
      </c>
      <c r="F171">
        <v>400</v>
      </c>
      <c r="G171">
        <v>150</v>
      </c>
      <c r="H171" t="s">
        <v>22</v>
      </c>
      <c r="I171">
        <v>400</v>
      </c>
      <c r="J171">
        <v>900</v>
      </c>
      <c r="K171" t="s">
        <v>22</v>
      </c>
      <c r="L171">
        <v>19.399999999999999</v>
      </c>
      <c r="M171">
        <v>6.6</v>
      </c>
      <c r="N171" t="s">
        <v>38</v>
      </c>
      <c r="O171">
        <v>60</v>
      </c>
      <c r="P171">
        <v>9</v>
      </c>
      <c r="Q171">
        <v>28</v>
      </c>
      <c r="R171">
        <v>7</v>
      </c>
      <c r="S171">
        <v>0.23</v>
      </c>
    </row>
    <row r="172" spans="1:19" x14ac:dyDescent="0.25">
      <c r="A172">
        <v>1008</v>
      </c>
      <c r="B172">
        <v>1</v>
      </c>
      <c r="C172" t="s">
        <v>40</v>
      </c>
      <c r="D172">
        <v>6.04</v>
      </c>
      <c r="E172">
        <v>3.8E-3</v>
      </c>
      <c r="F172">
        <v>400</v>
      </c>
      <c r="G172">
        <v>150</v>
      </c>
      <c r="H172" t="s">
        <v>22</v>
      </c>
      <c r="I172">
        <v>400</v>
      </c>
      <c r="J172">
        <v>900</v>
      </c>
      <c r="K172" t="s">
        <v>22</v>
      </c>
      <c r="L172">
        <v>19.399999999999999</v>
      </c>
      <c r="M172">
        <v>6.6</v>
      </c>
      <c r="N172" t="s">
        <v>38</v>
      </c>
      <c r="O172">
        <f t="shared" si="23"/>
        <v>60</v>
      </c>
      <c r="P172">
        <v>9</v>
      </c>
      <c r="Q172">
        <v>28</v>
      </c>
      <c r="R172">
        <v>14</v>
      </c>
      <c r="S172">
        <v>0.26</v>
      </c>
    </row>
    <row r="173" spans="1:19" x14ac:dyDescent="0.25">
      <c r="A173">
        <v>1008</v>
      </c>
      <c r="B173">
        <v>1</v>
      </c>
      <c r="C173" t="s">
        <v>40</v>
      </c>
      <c r="D173">
        <v>6.04</v>
      </c>
      <c r="E173">
        <v>3.8E-3</v>
      </c>
      <c r="F173">
        <v>400</v>
      </c>
      <c r="G173">
        <v>150</v>
      </c>
      <c r="H173" t="s">
        <v>22</v>
      </c>
      <c r="I173">
        <v>400</v>
      </c>
      <c r="J173">
        <v>900</v>
      </c>
      <c r="K173" t="s">
        <v>22</v>
      </c>
      <c r="L173">
        <v>19.399999999999999</v>
      </c>
      <c r="M173">
        <v>6.6</v>
      </c>
      <c r="N173" t="s">
        <v>38</v>
      </c>
      <c r="O173">
        <f t="shared" si="23"/>
        <v>60</v>
      </c>
      <c r="P173">
        <v>9</v>
      </c>
      <c r="Q173">
        <v>28</v>
      </c>
      <c r="R173">
        <v>21</v>
      </c>
      <c r="S173">
        <v>0.45</v>
      </c>
    </row>
    <row r="174" spans="1:19" x14ac:dyDescent="0.25">
      <c r="A174">
        <v>1008</v>
      </c>
      <c r="B174">
        <v>1</v>
      </c>
      <c r="C174" t="s">
        <v>40</v>
      </c>
      <c r="D174">
        <v>6.04</v>
      </c>
      <c r="E174">
        <v>3.8E-3</v>
      </c>
      <c r="F174">
        <v>400</v>
      </c>
      <c r="G174">
        <v>150</v>
      </c>
      <c r="H174" t="s">
        <v>22</v>
      </c>
      <c r="I174">
        <v>400</v>
      </c>
      <c r="J174">
        <v>900</v>
      </c>
      <c r="K174" t="s">
        <v>22</v>
      </c>
      <c r="L174">
        <v>19.399999999999999</v>
      </c>
      <c r="M174">
        <v>6.6</v>
      </c>
      <c r="N174" t="s">
        <v>38</v>
      </c>
      <c r="O174">
        <f t="shared" si="23"/>
        <v>60</v>
      </c>
      <c r="P174">
        <v>9</v>
      </c>
      <c r="Q174">
        <v>28</v>
      </c>
      <c r="R174">
        <v>28</v>
      </c>
      <c r="S174">
        <v>0.75</v>
      </c>
    </row>
    <row r="175" spans="1:19" ht="13.2" customHeight="1" x14ac:dyDescent="0.25">
      <c r="A175">
        <v>1008</v>
      </c>
      <c r="B175">
        <v>1</v>
      </c>
      <c r="C175" t="s">
        <v>31</v>
      </c>
      <c r="D175">
        <v>5.22</v>
      </c>
      <c r="E175">
        <v>0.26</v>
      </c>
      <c r="F175">
        <v>375</v>
      </c>
      <c r="G175">
        <v>111</v>
      </c>
      <c r="H175" t="s">
        <v>22</v>
      </c>
      <c r="I175">
        <v>400</v>
      </c>
      <c r="J175">
        <v>900</v>
      </c>
      <c r="K175" t="s">
        <v>22</v>
      </c>
      <c r="L175">
        <v>19.399999999999999</v>
      </c>
      <c r="M175">
        <v>6.6</v>
      </c>
      <c r="N175" t="s">
        <v>32</v>
      </c>
      <c r="O175">
        <f t="shared" si="23"/>
        <v>60</v>
      </c>
      <c r="P175">
        <v>10</v>
      </c>
      <c r="Q175">
        <v>28</v>
      </c>
      <c r="R175">
        <v>7</v>
      </c>
      <c r="S175">
        <v>0.23</v>
      </c>
    </row>
    <row r="176" spans="1:19" x14ac:dyDescent="0.25">
      <c r="A176">
        <v>1008</v>
      </c>
      <c r="B176">
        <v>1</v>
      </c>
      <c r="C176" t="s">
        <v>31</v>
      </c>
      <c r="D176">
        <v>5.22</v>
      </c>
      <c r="E176">
        <v>0.26</v>
      </c>
      <c r="F176">
        <v>375</v>
      </c>
      <c r="G176">
        <v>111</v>
      </c>
      <c r="H176" t="s">
        <v>22</v>
      </c>
      <c r="I176">
        <v>400</v>
      </c>
      <c r="J176">
        <v>900</v>
      </c>
      <c r="K176" t="s">
        <v>22</v>
      </c>
      <c r="L176">
        <v>19.399999999999999</v>
      </c>
      <c r="M176">
        <v>6.6</v>
      </c>
      <c r="N176" t="s">
        <v>32</v>
      </c>
      <c r="O176">
        <f t="shared" si="23"/>
        <v>60</v>
      </c>
      <c r="P176">
        <v>10</v>
      </c>
      <c r="Q176">
        <v>28</v>
      </c>
      <c r="R176">
        <v>14</v>
      </c>
      <c r="S176">
        <v>0.28000000000000003</v>
      </c>
    </row>
    <row r="177" spans="1:19" x14ac:dyDescent="0.25">
      <c r="A177">
        <v>1008</v>
      </c>
      <c r="B177">
        <v>1</v>
      </c>
      <c r="C177" t="s">
        <v>31</v>
      </c>
      <c r="D177">
        <v>5.22</v>
      </c>
      <c r="E177">
        <v>0.26</v>
      </c>
      <c r="F177">
        <v>375</v>
      </c>
      <c r="G177">
        <v>111</v>
      </c>
      <c r="H177" t="s">
        <v>22</v>
      </c>
      <c r="I177">
        <v>400</v>
      </c>
      <c r="J177">
        <v>900</v>
      </c>
      <c r="K177" t="s">
        <v>22</v>
      </c>
      <c r="L177">
        <v>19.399999999999999</v>
      </c>
      <c r="M177">
        <v>6.6</v>
      </c>
      <c r="N177" t="s">
        <v>32</v>
      </c>
      <c r="O177">
        <f t="shared" si="23"/>
        <v>60</v>
      </c>
      <c r="P177">
        <v>10</v>
      </c>
      <c r="Q177">
        <v>28</v>
      </c>
      <c r="R177">
        <v>21</v>
      </c>
      <c r="S177">
        <v>0.45</v>
      </c>
    </row>
    <row r="178" spans="1:19" x14ac:dyDescent="0.25">
      <c r="A178">
        <v>1008</v>
      </c>
      <c r="B178">
        <v>1</v>
      </c>
      <c r="C178" t="s">
        <v>31</v>
      </c>
      <c r="D178">
        <v>5.22</v>
      </c>
      <c r="E178">
        <v>0.26</v>
      </c>
      <c r="F178">
        <v>375</v>
      </c>
      <c r="G178">
        <v>111</v>
      </c>
      <c r="H178" t="s">
        <v>22</v>
      </c>
      <c r="I178">
        <v>400</v>
      </c>
      <c r="J178">
        <v>900</v>
      </c>
      <c r="K178" t="s">
        <v>22</v>
      </c>
      <c r="L178">
        <v>19.399999999999999</v>
      </c>
      <c r="M178">
        <v>6.6</v>
      </c>
      <c r="N178" t="s">
        <v>32</v>
      </c>
      <c r="O178">
        <f t="shared" si="23"/>
        <v>60</v>
      </c>
      <c r="P178">
        <v>10</v>
      </c>
      <c r="Q178">
        <v>28</v>
      </c>
      <c r="R178">
        <v>28</v>
      </c>
      <c r="S178">
        <v>0.61</v>
      </c>
    </row>
    <row r="179" spans="1:19" x14ac:dyDescent="0.25">
      <c r="A179">
        <v>1008</v>
      </c>
      <c r="B179">
        <v>1</v>
      </c>
      <c r="C179" t="s">
        <v>35</v>
      </c>
      <c r="D179">
        <v>5.18</v>
      </c>
      <c r="E179">
        <v>0.13200000000000001</v>
      </c>
      <c r="F179">
        <v>393</v>
      </c>
      <c r="G179">
        <v>150</v>
      </c>
      <c r="H179" t="s">
        <v>22</v>
      </c>
      <c r="I179">
        <v>400</v>
      </c>
      <c r="J179">
        <v>900</v>
      </c>
      <c r="K179" t="s">
        <v>22</v>
      </c>
      <c r="L179">
        <v>19.399999999999999</v>
      </c>
      <c r="M179">
        <v>6.6</v>
      </c>
      <c r="N179" t="s">
        <v>32</v>
      </c>
      <c r="O179">
        <f t="shared" si="23"/>
        <v>60</v>
      </c>
      <c r="P179">
        <v>9</v>
      </c>
      <c r="Q179">
        <v>28</v>
      </c>
      <c r="R179">
        <v>7</v>
      </c>
      <c r="S179">
        <v>0.27</v>
      </c>
    </row>
    <row r="180" spans="1:19" x14ac:dyDescent="0.25">
      <c r="A180">
        <v>1008</v>
      </c>
      <c r="B180">
        <v>1</v>
      </c>
      <c r="C180" t="s">
        <v>35</v>
      </c>
      <c r="D180">
        <v>5.18</v>
      </c>
      <c r="E180">
        <v>0.13200000000000001</v>
      </c>
      <c r="F180">
        <v>393</v>
      </c>
      <c r="G180">
        <v>150</v>
      </c>
      <c r="H180" t="s">
        <v>22</v>
      </c>
      <c r="I180">
        <v>400</v>
      </c>
      <c r="J180">
        <v>900</v>
      </c>
      <c r="K180" t="s">
        <v>22</v>
      </c>
      <c r="L180">
        <v>19.399999999999999</v>
      </c>
      <c r="M180">
        <v>6.6</v>
      </c>
      <c r="N180" t="s">
        <v>32</v>
      </c>
      <c r="O180">
        <f t="shared" si="23"/>
        <v>60</v>
      </c>
      <c r="P180">
        <v>9</v>
      </c>
      <c r="Q180">
        <v>28</v>
      </c>
      <c r="R180">
        <v>14</v>
      </c>
      <c r="S180">
        <v>0.55000000000000004</v>
      </c>
    </row>
    <row r="181" spans="1:19" x14ac:dyDescent="0.25">
      <c r="A181">
        <v>1008</v>
      </c>
      <c r="B181">
        <v>1</v>
      </c>
      <c r="C181" t="s">
        <v>35</v>
      </c>
      <c r="D181">
        <v>5.18</v>
      </c>
      <c r="E181">
        <v>0.13200000000000001</v>
      </c>
      <c r="F181">
        <v>393</v>
      </c>
      <c r="G181">
        <v>150</v>
      </c>
      <c r="H181" t="s">
        <v>22</v>
      </c>
      <c r="I181">
        <v>400</v>
      </c>
      <c r="J181">
        <v>900</v>
      </c>
      <c r="K181" t="s">
        <v>22</v>
      </c>
      <c r="L181">
        <v>19.399999999999999</v>
      </c>
      <c r="M181">
        <v>6.6</v>
      </c>
      <c r="N181" t="s">
        <v>32</v>
      </c>
      <c r="O181">
        <f t="shared" ref="O181:O182" si="30">O180</f>
        <v>60</v>
      </c>
      <c r="P181">
        <v>9</v>
      </c>
      <c r="Q181">
        <v>28</v>
      </c>
      <c r="R181">
        <v>21</v>
      </c>
      <c r="S181">
        <v>0.69</v>
      </c>
    </row>
    <row r="182" spans="1:19" x14ac:dyDescent="0.25">
      <c r="A182">
        <v>1008</v>
      </c>
      <c r="B182">
        <v>1</v>
      </c>
      <c r="C182" t="s">
        <v>35</v>
      </c>
      <c r="D182">
        <v>5.18</v>
      </c>
      <c r="E182">
        <v>0.13200000000000001</v>
      </c>
      <c r="F182">
        <v>393</v>
      </c>
      <c r="G182">
        <v>150</v>
      </c>
      <c r="H182" t="s">
        <v>22</v>
      </c>
      <c r="I182">
        <v>400</v>
      </c>
      <c r="J182">
        <v>900</v>
      </c>
      <c r="K182" t="s">
        <v>22</v>
      </c>
      <c r="L182">
        <v>19.399999999999999</v>
      </c>
      <c r="M182">
        <v>6.6</v>
      </c>
      <c r="N182" t="s">
        <v>32</v>
      </c>
      <c r="O182">
        <f t="shared" si="30"/>
        <v>60</v>
      </c>
      <c r="P182">
        <v>9</v>
      </c>
      <c r="Q182">
        <v>28</v>
      </c>
      <c r="R182">
        <v>28</v>
      </c>
      <c r="S182">
        <v>0.74</v>
      </c>
    </row>
    <row r="183" spans="1:19" x14ac:dyDescent="0.25">
      <c r="A183">
        <v>1009</v>
      </c>
      <c r="B183">
        <v>1</v>
      </c>
      <c r="C183" t="s">
        <v>28</v>
      </c>
      <c r="D183">
        <v>4.57</v>
      </c>
      <c r="E183">
        <v>1.1000000000000001</v>
      </c>
      <c r="F183">
        <v>100</v>
      </c>
      <c r="G183">
        <v>338</v>
      </c>
      <c r="H183" t="s">
        <v>24</v>
      </c>
      <c r="L183">
        <v>13</v>
      </c>
      <c r="M183">
        <v>7.5</v>
      </c>
      <c r="N183" t="s">
        <v>29</v>
      </c>
      <c r="O183">
        <v>20</v>
      </c>
      <c r="P183">
        <v>82.44</v>
      </c>
      <c r="Q183">
        <v>30</v>
      </c>
      <c r="R183">
        <v>2</v>
      </c>
      <c r="S183">
        <v>0.5</v>
      </c>
    </row>
    <row r="184" spans="1:19" x14ac:dyDescent="0.25">
      <c r="A184">
        <f>A183</f>
        <v>1009</v>
      </c>
      <c r="B184">
        <v>1</v>
      </c>
      <c r="C184" t="s">
        <v>28</v>
      </c>
      <c r="D184">
        <v>4.57</v>
      </c>
      <c r="E184">
        <v>1.1000000000000001</v>
      </c>
      <c r="F184">
        <v>100</v>
      </c>
      <c r="G184">
        <v>338</v>
      </c>
      <c r="H184" t="s">
        <v>24</v>
      </c>
      <c r="L184">
        <v>13</v>
      </c>
      <c r="M184">
        <v>7.5</v>
      </c>
      <c r="N184" t="s">
        <v>29</v>
      </c>
      <c r="O184">
        <v>20</v>
      </c>
      <c r="P184">
        <v>82.44</v>
      </c>
      <c r="Q184">
        <v>30</v>
      </c>
      <c r="R184">
        <v>4</v>
      </c>
      <c r="S184">
        <v>0.87</v>
      </c>
    </row>
    <row r="185" spans="1:19" x14ac:dyDescent="0.25">
      <c r="A185">
        <f t="shared" ref="A185:A210" si="31">A184</f>
        <v>1009</v>
      </c>
      <c r="B185">
        <v>1</v>
      </c>
      <c r="C185" t="s">
        <v>28</v>
      </c>
      <c r="D185">
        <v>4.57</v>
      </c>
      <c r="E185">
        <v>1.1000000000000001</v>
      </c>
      <c r="F185">
        <v>100</v>
      </c>
      <c r="G185">
        <v>338</v>
      </c>
      <c r="H185" t="s">
        <v>24</v>
      </c>
      <c r="L185">
        <v>13</v>
      </c>
      <c r="M185">
        <v>7.5</v>
      </c>
      <c r="N185" t="s">
        <v>29</v>
      </c>
      <c r="O185">
        <v>20</v>
      </c>
      <c r="P185">
        <v>82.44</v>
      </c>
      <c r="Q185">
        <v>30</v>
      </c>
      <c r="R185">
        <v>6</v>
      </c>
      <c r="S185">
        <v>0.93</v>
      </c>
    </row>
    <row r="186" spans="1:19" x14ac:dyDescent="0.25">
      <c r="A186">
        <f t="shared" si="31"/>
        <v>1009</v>
      </c>
      <c r="B186">
        <v>1</v>
      </c>
      <c r="C186" t="s">
        <v>28</v>
      </c>
      <c r="D186">
        <v>4.57</v>
      </c>
      <c r="E186">
        <v>1.1000000000000001</v>
      </c>
      <c r="F186">
        <v>100</v>
      </c>
      <c r="G186">
        <v>338</v>
      </c>
      <c r="H186" t="s">
        <v>24</v>
      </c>
      <c r="L186">
        <v>13</v>
      </c>
      <c r="M186">
        <v>7.5</v>
      </c>
      <c r="N186" t="s">
        <v>29</v>
      </c>
      <c r="O186">
        <v>20</v>
      </c>
      <c r="P186">
        <v>82.44</v>
      </c>
      <c r="Q186">
        <v>30</v>
      </c>
      <c r="R186">
        <v>8</v>
      </c>
      <c r="S186">
        <v>0.96</v>
      </c>
    </row>
    <row r="187" spans="1:19" x14ac:dyDescent="0.25">
      <c r="A187">
        <f t="shared" si="31"/>
        <v>1009</v>
      </c>
      <c r="B187">
        <v>1</v>
      </c>
      <c r="C187" t="s">
        <v>28</v>
      </c>
      <c r="D187">
        <v>4.57</v>
      </c>
      <c r="E187">
        <v>1.1000000000000001</v>
      </c>
      <c r="F187">
        <v>100</v>
      </c>
      <c r="G187">
        <v>338</v>
      </c>
      <c r="H187" t="s">
        <v>24</v>
      </c>
      <c r="L187">
        <v>13</v>
      </c>
      <c r="M187">
        <v>7.5</v>
      </c>
      <c r="N187" t="s">
        <v>29</v>
      </c>
      <c r="O187">
        <v>20</v>
      </c>
      <c r="P187">
        <v>82.44</v>
      </c>
      <c r="Q187">
        <v>30</v>
      </c>
      <c r="R187">
        <v>10</v>
      </c>
      <c r="S187">
        <v>0.97</v>
      </c>
    </row>
    <row r="188" spans="1:19" x14ac:dyDescent="0.25">
      <c r="A188">
        <f t="shared" si="31"/>
        <v>1009</v>
      </c>
      <c r="B188">
        <v>2</v>
      </c>
      <c r="C188" t="s">
        <v>28</v>
      </c>
      <c r="D188">
        <v>4.57</v>
      </c>
      <c r="E188">
        <v>1.1000000000000001</v>
      </c>
      <c r="F188">
        <v>100</v>
      </c>
      <c r="G188">
        <v>338</v>
      </c>
      <c r="H188" t="str">
        <f>H187</f>
        <v>砂土</v>
      </c>
      <c r="L188">
        <f>L187</f>
        <v>13</v>
      </c>
      <c r="M188">
        <f>M187</f>
        <v>7.5</v>
      </c>
      <c r="N188" t="s">
        <v>29</v>
      </c>
      <c r="O188">
        <v>20</v>
      </c>
      <c r="P188">
        <v>104.7</v>
      </c>
      <c r="Q188">
        <f>Q187</f>
        <v>30</v>
      </c>
      <c r="R188">
        <v>7</v>
      </c>
      <c r="S188">
        <v>0.59</v>
      </c>
    </row>
    <row r="189" spans="1:19" x14ac:dyDescent="0.25">
      <c r="A189">
        <f t="shared" si="31"/>
        <v>1009</v>
      </c>
      <c r="B189">
        <v>2</v>
      </c>
      <c r="C189" t="s">
        <v>28</v>
      </c>
      <c r="D189">
        <v>4.57</v>
      </c>
      <c r="E189">
        <v>1.1000000000000001</v>
      </c>
      <c r="F189">
        <v>100</v>
      </c>
      <c r="G189">
        <v>338</v>
      </c>
      <c r="H189" t="str">
        <f t="shared" ref="H189:H210" si="32">H188</f>
        <v>砂土</v>
      </c>
      <c r="L189">
        <f t="shared" ref="L189:L210" si="33">L188</f>
        <v>13</v>
      </c>
      <c r="M189">
        <f t="shared" ref="M189:M210" si="34">M188</f>
        <v>7.5</v>
      </c>
      <c r="N189" t="s">
        <v>29</v>
      </c>
      <c r="O189">
        <v>30</v>
      </c>
      <c r="P189">
        <v>104.7</v>
      </c>
      <c r="Q189">
        <f t="shared" ref="Q189:Q209" si="35">Q188</f>
        <v>30</v>
      </c>
      <c r="R189">
        <v>7</v>
      </c>
      <c r="S189">
        <v>0.84</v>
      </c>
    </row>
    <row r="190" spans="1:19" x14ac:dyDescent="0.25">
      <c r="A190">
        <f t="shared" si="31"/>
        <v>1009</v>
      </c>
      <c r="B190">
        <v>2</v>
      </c>
      <c r="C190" t="s">
        <v>28</v>
      </c>
      <c r="D190">
        <v>4.57</v>
      </c>
      <c r="E190">
        <v>1.1000000000000001</v>
      </c>
      <c r="F190">
        <v>100</v>
      </c>
      <c r="G190">
        <v>338</v>
      </c>
      <c r="H190" t="str">
        <f t="shared" si="32"/>
        <v>砂土</v>
      </c>
      <c r="L190">
        <f t="shared" si="33"/>
        <v>13</v>
      </c>
      <c r="M190">
        <f t="shared" si="34"/>
        <v>7.5</v>
      </c>
      <c r="N190" t="s">
        <v>29</v>
      </c>
      <c r="O190">
        <v>40</v>
      </c>
      <c r="P190">
        <v>104.7</v>
      </c>
      <c r="Q190">
        <f t="shared" si="35"/>
        <v>30</v>
      </c>
      <c r="R190">
        <v>7</v>
      </c>
      <c r="S190">
        <v>0.87</v>
      </c>
    </row>
    <row r="191" spans="1:19" x14ac:dyDescent="0.25">
      <c r="A191">
        <f t="shared" si="31"/>
        <v>1009</v>
      </c>
      <c r="B191">
        <v>3</v>
      </c>
      <c r="C191" t="s">
        <v>34</v>
      </c>
      <c r="D191">
        <v>4.18</v>
      </c>
      <c r="E191">
        <v>1.68</v>
      </c>
      <c r="F191">
        <v>115</v>
      </c>
      <c r="G191">
        <v>295</v>
      </c>
      <c r="H191" t="str">
        <f t="shared" si="32"/>
        <v>砂土</v>
      </c>
      <c r="L191">
        <f t="shared" si="33"/>
        <v>13</v>
      </c>
      <c r="M191">
        <f t="shared" si="34"/>
        <v>7.5</v>
      </c>
      <c r="N191" t="s">
        <v>29</v>
      </c>
      <c r="O191">
        <v>29</v>
      </c>
      <c r="P191">
        <v>13.85</v>
      </c>
      <c r="Q191">
        <f t="shared" si="35"/>
        <v>30</v>
      </c>
      <c r="R191">
        <v>5</v>
      </c>
      <c r="S191">
        <v>0.72</v>
      </c>
    </row>
    <row r="192" spans="1:19" x14ac:dyDescent="0.25">
      <c r="A192">
        <f t="shared" si="31"/>
        <v>1009</v>
      </c>
      <c r="B192">
        <v>3</v>
      </c>
      <c r="C192" t="s">
        <v>34</v>
      </c>
      <c r="D192">
        <v>4.18</v>
      </c>
      <c r="E192">
        <v>1.68</v>
      </c>
      <c r="F192">
        <f>F191</f>
        <v>115</v>
      </c>
      <c r="G192">
        <v>295</v>
      </c>
      <c r="H192" t="str">
        <f t="shared" si="32"/>
        <v>砂土</v>
      </c>
      <c r="L192">
        <f t="shared" si="33"/>
        <v>13</v>
      </c>
      <c r="M192">
        <f t="shared" si="34"/>
        <v>7.5</v>
      </c>
      <c r="N192" t="s">
        <v>29</v>
      </c>
      <c r="O192">
        <v>29</v>
      </c>
      <c r="P192">
        <v>13.85</v>
      </c>
      <c r="Q192">
        <f t="shared" si="35"/>
        <v>30</v>
      </c>
      <c r="R192">
        <v>10</v>
      </c>
      <c r="S192">
        <v>0.88</v>
      </c>
    </row>
    <row r="193" spans="1:19" x14ac:dyDescent="0.25">
      <c r="A193">
        <f t="shared" si="31"/>
        <v>1009</v>
      </c>
      <c r="B193">
        <v>3</v>
      </c>
      <c r="C193" t="s">
        <v>34</v>
      </c>
      <c r="D193">
        <v>4.18</v>
      </c>
      <c r="E193">
        <v>1.68</v>
      </c>
      <c r="F193">
        <f t="shared" ref="F193:F194" si="36">F192</f>
        <v>115</v>
      </c>
      <c r="G193">
        <v>295</v>
      </c>
      <c r="H193" t="str">
        <f t="shared" si="32"/>
        <v>砂土</v>
      </c>
      <c r="L193">
        <f t="shared" si="33"/>
        <v>13</v>
      </c>
      <c r="M193">
        <f t="shared" si="34"/>
        <v>7.5</v>
      </c>
      <c r="N193" t="s">
        <v>29</v>
      </c>
      <c r="O193">
        <f>O192</f>
        <v>29</v>
      </c>
      <c r="P193">
        <v>13.85</v>
      </c>
      <c r="Q193">
        <f t="shared" si="35"/>
        <v>30</v>
      </c>
      <c r="R193">
        <v>15</v>
      </c>
      <c r="S193">
        <v>0.96</v>
      </c>
    </row>
    <row r="194" spans="1:19" x14ac:dyDescent="0.25">
      <c r="A194">
        <f t="shared" si="31"/>
        <v>1009</v>
      </c>
      <c r="B194">
        <v>3</v>
      </c>
      <c r="C194" t="s">
        <v>34</v>
      </c>
      <c r="D194">
        <v>4.18</v>
      </c>
      <c r="E194">
        <v>1.68</v>
      </c>
      <c r="F194">
        <f t="shared" si="36"/>
        <v>115</v>
      </c>
      <c r="G194">
        <v>295</v>
      </c>
      <c r="H194" t="str">
        <f t="shared" si="32"/>
        <v>砂土</v>
      </c>
      <c r="L194">
        <f t="shared" si="33"/>
        <v>13</v>
      </c>
      <c r="M194">
        <f t="shared" si="34"/>
        <v>7.5</v>
      </c>
      <c r="N194" t="s">
        <v>29</v>
      </c>
      <c r="O194">
        <f t="shared" ref="O194:O210" si="37">O193</f>
        <v>29</v>
      </c>
      <c r="P194">
        <v>13.85</v>
      </c>
      <c r="Q194">
        <f t="shared" si="35"/>
        <v>30</v>
      </c>
      <c r="R194">
        <v>20</v>
      </c>
      <c r="S194">
        <v>0.99</v>
      </c>
    </row>
    <row r="195" spans="1:19" x14ac:dyDescent="0.25">
      <c r="A195">
        <f t="shared" si="31"/>
        <v>1009</v>
      </c>
      <c r="B195">
        <v>3</v>
      </c>
      <c r="C195" t="s">
        <v>28</v>
      </c>
      <c r="D195">
        <v>4.57</v>
      </c>
      <c r="E195">
        <v>1.1000000000000001</v>
      </c>
      <c r="F195">
        <v>100</v>
      </c>
      <c r="G195">
        <v>338</v>
      </c>
      <c r="H195" t="str">
        <f t="shared" si="32"/>
        <v>砂土</v>
      </c>
      <c r="L195">
        <f t="shared" si="33"/>
        <v>13</v>
      </c>
      <c r="M195">
        <f t="shared" si="34"/>
        <v>7.5</v>
      </c>
      <c r="N195" t="s">
        <v>29</v>
      </c>
      <c r="O195">
        <f t="shared" si="37"/>
        <v>29</v>
      </c>
      <c r="P195">
        <v>14.55</v>
      </c>
      <c r="Q195">
        <f t="shared" si="35"/>
        <v>30</v>
      </c>
      <c r="R195">
        <v>5</v>
      </c>
      <c r="S195">
        <v>0.76</v>
      </c>
    </row>
    <row r="196" spans="1:19" x14ac:dyDescent="0.25">
      <c r="A196">
        <f t="shared" si="31"/>
        <v>1009</v>
      </c>
      <c r="B196">
        <v>3</v>
      </c>
      <c r="C196" t="s">
        <v>28</v>
      </c>
      <c r="D196">
        <v>4.57</v>
      </c>
      <c r="E196">
        <v>1.1000000000000001</v>
      </c>
      <c r="F196">
        <v>100</v>
      </c>
      <c r="G196">
        <v>338</v>
      </c>
      <c r="H196" t="str">
        <f t="shared" si="32"/>
        <v>砂土</v>
      </c>
      <c r="L196">
        <f t="shared" si="33"/>
        <v>13</v>
      </c>
      <c r="M196">
        <f t="shared" si="34"/>
        <v>7.5</v>
      </c>
      <c r="N196" t="s">
        <v>29</v>
      </c>
      <c r="O196">
        <f t="shared" si="37"/>
        <v>29</v>
      </c>
      <c r="P196">
        <v>14.55</v>
      </c>
      <c r="Q196">
        <f t="shared" si="35"/>
        <v>30</v>
      </c>
      <c r="R196">
        <v>10</v>
      </c>
      <c r="S196">
        <v>0.89</v>
      </c>
    </row>
    <row r="197" spans="1:19" x14ac:dyDescent="0.25">
      <c r="A197">
        <f t="shared" si="31"/>
        <v>1009</v>
      </c>
      <c r="B197">
        <v>3</v>
      </c>
      <c r="C197" t="s">
        <v>28</v>
      </c>
      <c r="D197">
        <v>4.57</v>
      </c>
      <c r="E197">
        <v>1.1000000000000001</v>
      </c>
      <c r="F197">
        <v>100</v>
      </c>
      <c r="G197">
        <v>338</v>
      </c>
      <c r="H197" t="str">
        <f t="shared" si="32"/>
        <v>砂土</v>
      </c>
      <c r="L197">
        <f t="shared" si="33"/>
        <v>13</v>
      </c>
      <c r="M197">
        <f t="shared" si="34"/>
        <v>7.5</v>
      </c>
      <c r="N197" t="s">
        <v>29</v>
      </c>
      <c r="O197">
        <f t="shared" si="37"/>
        <v>29</v>
      </c>
      <c r="P197">
        <v>14.55</v>
      </c>
      <c r="Q197">
        <f t="shared" si="35"/>
        <v>30</v>
      </c>
      <c r="R197">
        <v>15</v>
      </c>
      <c r="S197">
        <v>0.96</v>
      </c>
    </row>
    <row r="198" spans="1:19" x14ac:dyDescent="0.25">
      <c r="A198">
        <f t="shared" si="31"/>
        <v>1009</v>
      </c>
      <c r="B198">
        <v>3</v>
      </c>
      <c r="C198" t="s">
        <v>28</v>
      </c>
      <c r="D198">
        <v>4.57</v>
      </c>
      <c r="E198">
        <v>1.1000000000000001</v>
      </c>
      <c r="F198">
        <v>100</v>
      </c>
      <c r="G198">
        <v>338</v>
      </c>
      <c r="H198" t="str">
        <f t="shared" si="32"/>
        <v>砂土</v>
      </c>
      <c r="L198">
        <f t="shared" si="33"/>
        <v>13</v>
      </c>
      <c r="M198">
        <f t="shared" si="34"/>
        <v>7.5</v>
      </c>
      <c r="N198" t="s">
        <v>29</v>
      </c>
      <c r="O198">
        <f t="shared" si="37"/>
        <v>29</v>
      </c>
      <c r="P198">
        <v>14.55</v>
      </c>
      <c r="Q198">
        <f t="shared" si="35"/>
        <v>30</v>
      </c>
      <c r="R198">
        <v>20</v>
      </c>
      <c r="S198">
        <v>1</v>
      </c>
    </row>
    <row r="199" spans="1:19" x14ac:dyDescent="0.25">
      <c r="A199">
        <f t="shared" si="31"/>
        <v>1009</v>
      </c>
      <c r="B199">
        <v>3</v>
      </c>
      <c r="C199" t="s">
        <v>30</v>
      </c>
      <c r="D199">
        <v>4.88</v>
      </c>
      <c r="E199">
        <v>7.2999999999999995E-2</v>
      </c>
      <c r="F199">
        <v>216</v>
      </c>
      <c r="G199">
        <v>340</v>
      </c>
      <c r="H199" t="str">
        <f t="shared" si="32"/>
        <v>砂土</v>
      </c>
      <c r="L199">
        <f t="shared" si="33"/>
        <v>13</v>
      </c>
      <c r="M199">
        <f t="shared" si="34"/>
        <v>7.5</v>
      </c>
      <c r="N199" t="s">
        <v>29</v>
      </c>
      <c r="O199">
        <f t="shared" si="37"/>
        <v>29</v>
      </c>
      <c r="P199">
        <v>74.83</v>
      </c>
      <c r="Q199">
        <f t="shared" si="35"/>
        <v>30</v>
      </c>
      <c r="R199">
        <v>5</v>
      </c>
      <c r="S199">
        <v>0.1</v>
      </c>
    </row>
    <row r="200" spans="1:19" x14ac:dyDescent="0.25">
      <c r="A200">
        <f t="shared" si="31"/>
        <v>1009</v>
      </c>
      <c r="B200">
        <v>3</v>
      </c>
      <c r="C200" t="s">
        <v>30</v>
      </c>
      <c r="D200">
        <v>4.88</v>
      </c>
      <c r="E200">
        <v>7.2999999999999995E-2</v>
      </c>
      <c r="F200">
        <v>216</v>
      </c>
      <c r="G200">
        <v>340</v>
      </c>
      <c r="H200" t="str">
        <f t="shared" si="32"/>
        <v>砂土</v>
      </c>
      <c r="L200">
        <f t="shared" si="33"/>
        <v>13</v>
      </c>
      <c r="M200">
        <f t="shared" si="34"/>
        <v>7.5</v>
      </c>
      <c r="N200" t="s">
        <v>29</v>
      </c>
      <c r="O200">
        <f t="shared" si="37"/>
        <v>29</v>
      </c>
      <c r="P200">
        <v>74.83</v>
      </c>
      <c r="Q200">
        <f t="shared" si="35"/>
        <v>30</v>
      </c>
      <c r="R200">
        <v>10</v>
      </c>
      <c r="S200">
        <v>0.22</v>
      </c>
    </row>
    <row r="201" spans="1:19" x14ac:dyDescent="0.25">
      <c r="A201">
        <f t="shared" si="31"/>
        <v>1009</v>
      </c>
      <c r="B201">
        <v>3</v>
      </c>
      <c r="C201" t="s">
        <v>30</v>
      </c>
      <c r="D201">
        <v>4.88</v>
      </c>
      <c r="E201">
        <v>7.2999999999999995E-2</v>
      </c>
      <c r="F201">
        <v>216</v>
      </c>
      <c r="G201">
        <v>340</v>
      </c>
      <c r="H201" t="str">
        <f t="shared" si="32"/>
        <v>砂土</v>
      </c>
      <c r="L201">
        <f t="shared" si="33"/>
        <v>13</v>
      </c>
      <c r="M201">
        <f t="shared" si="34"/>
        <v>7.5</v>
      </c>
      <c r="N201" t="s">
        <v>29</v>
      </c>
      <c r="O201">
        <f t="shared" si="37"/>
        <v>29</v>
      </c>
      <c r="P201">
        <v>74.83</v>
      </c>
      <c r="Q201">
        <f t="shared" si="35"/>
        <v>30</v>
      </c>
      <c r="R201">
        <v>15</v>
      </c>
      <c r="S201">
        <v>0.82</v>
      </c>
    </row>
    <row r="202" spans="1:19" x14ac:dyDescent="0.25">
      <c r="A202">
        <f t="shared" si="31"/>
        <v>1009</v>
      </c>
      <c r="B202">
        <v>3</v>
      </c>
      <c r="C202" t="s">
        <v>30</v>
      </c>
      <c r="D202">
        <v>4.88</v>
      </c>
      <c r="E202">
        <v>7.2999999999999995E-2</v>
      </c>
      <c r="F202">
        <v>216</v>
      </c>
      <c r="G202">
        <v>340</v>
      </c>
      <c r="H202" t="str">
        <f t="shared" si="32"/>
        <v>砂土</v>
      </c>
      <c r="L202">
        <f t="shared" si="33"/>
        <v>13</v>
      </c>
      <c r="M202">
        <f t="shared" si="34"/>
        <v>7.5</v>
      </c>
      <c r="N202" t="s">
        <v>29</v>
      </c>
      <c r="O202">
        <f t="shared" si="37"/>
        <v>29</v>
      </c>
      <c r="P202">
        <v>74.83</v>
      </c>
      <c r="Q202">
        <f t="shared" si="35"/>
        <v>30</v>
      </c>
      <c r="R202">
        <v>20</v>
      </c>
      <c r="S202">
        <v>0.95</v>
      </c>
    </row>
    <row r="203" spans="1:19" x14ac:dyDescent="0.25">
      <c r="A203">
        <f t="shared" si="31"/>
        <v>1009</v>
      </c>
      <c r="B203">
        <v>3</v>
      </c>
      <c r="C203" t="s">
        <v>35</v>
      </c>
      <c r="D203">
        <v>5.18</v>
      </c>
      <c r="E203">
        <v>0.13200000000000001</v>
      </c>
      <c r="F203">
        <v>393</v>
      </c>
      <c r="G203">
        <v>150</v>
      </c>
      <c r="H203" t="str">
        <f t="shared" si="32"/>
        <v>砂土</v>
      </c>
      <c r="L203">
        <f t="shared" si="33"/>
        <v>13</v>
      </c>
      <c r="M203">
        <f t="shared" si="34"/>
        <v>7.5</v>
      </c>
      <c r="N203" t="s">
        <v>32</v>
      </c>
      <c r="O203">
        <f t="shared" si="37"/>
        <v>29</v>
      </c>
      <c r="P203">
        <v>15.24</v>
      </c>
      <c r="Q203">
        <f t="shared" si="35"/>
        <v>30</v>
      </c>
      <c r="R203">
        <v>5</v>
      </c>
      <c r="S203">
        <v>0.69</v>
      </c>
    </row>
    <row r="204" spans="1:19" x14ac:dyDescent="0.25">
      <c r="A204">
        <f t="shared" si="31"/>
        <v>1009</v>
      </c>
      <c r="B204">
        <v>3</v>
      </c>
      <c r="C204" t="s">
        <v>35</v>
      </c>
      <c r="D204">
        <v>5.18</v>
      </c>
      <c r="E204">
        <v>0.13200000000000001</v>
      </c>
      <c r="F204">
        <v>393</v>
      </c>
      <c r="G204">
        <v>150</v>
      </c>
      <c r="H204" t="str">
        <f t="shared" si="32"/>
        <v>砂土</v>
      </c>
      <c r="L204">
        <f t="shared" si="33"/>
        <v>13</v>
      </c>
      <c r="M204">
        <f t="shared" si="34"/>
        <v>7.5</v>
      </c>
      <c r="N204" t="s">
        <v>32</v>
      </c>
      <c r="O204">
        <f t="shared" si="37"/>
        <v>29</v>
      </c>
      <c r="P204">
        <v>15.24</v>
      </c>
      <c r="Q204">
        <f t="shared" si="35"/>
        <v>30</v>
      </c>
      <c r="R204">
        <v>10</v>
      </c>
      <c r="S204">
        <v>0.85</v>
      </c>
    </row>
    <row r="205" spans="1:19" x14ac:dyDescent="0.25">
      <c r="A205">
        <f t="shared" si="31"/>
        <v>1009</v>
      </c>
      <c r="B205">
        <v>3</v>
      </c>
      <c r="C205" t="s">
        <v>35</v>
      </c>
      <c r="D205">
        <v>5.18</v>
      </c>
      <c r="E205">
        <v>0.13200000000000001</v>
      </c>
      <c r="F205">
        <v>393</v>
      </c>
      <c r="G205">
        <v>150</v>
      </c>
      <c r="H205" t="str">
        <f t="shared" si="32"/>
        <v>砂土</v>
      </c>
      <c r="L205">
        <f t="shared" si="33"/>
        <v>13</v>
      </c>
      <c r="M205">
        <f t="shared" si="34"/>
        <v>7.5</v>
      </c>
      <c r="N205" t="s">
        <v>32</v>
      </c>
      <c r="O205">
        <f t="shared" si="37"/>
        <v>29</v>
      </c>
      <c r="P205">
        <v>15.24</v>
      </c>
      <c r="Q205">
        <f t="shared" si="35"/>
        <v>30</v>
      </c>
      <c r="R205">
        <v>15</v>
      </c>
      <c r="S205">
        <v>0.98</v>
      </c>
    </row>
    <row r="206" spans="1:19" x14ac:dyDescent="0.25">
      <c r="A206">
        <f t="shared" si="31"/>
        <v>1009</v>
      </c>
      <c r="B206">
        <v>3</v>
      </c>
      <c r="C206" t="s">
        <v>35</v>
      </c>
      <c r="D206">
        <v>5.18</v>
      </c>
      <c r="E206">
        <v>0.13200000000000001</v>
      </c>
      <c r="F206">
        <v>393</v>
      </c>
      <c r="G206">
        <v>150</v>
      </c>
      <c r="H206" t="str">
        <f t="shared" si="32"/>
        <v>砂土</v>
      </c>
      <c r="L206">
        <f t="shared" si="33"/>
        <v>13</v>
      </c>
      <c r="M206">
        <f t="shared" si="34"/>
        <v>7.5</v>
      </c>
      <c r="N206" t="s">
        <v>32</v>
      </c>
      <c r="O206">
        <f t="shared" si="37"/>
        <v>29</v>
      </c>
      <c r="P206">
        <v>15.24</v>
      </c>
      <c r="Q206">
        <f t="shared" si="35"/>
        <v>30</v>
      </c>
      <c r="R206">
        <v>20</v>
      </c>
      <c r="S206">
        <v>0.99</v>
      </c>
    </row>
    <row r="207" spans="1:19" x14ac:dyDescent="0.25">
      <c r="A207">
        <f t="shared" si="31"/>
        <v>1009</v>
      </c>
      <c r="B207">
        <v>3</v>
      </c>
      <c r="C207" t="s">
        <v>19</v>
      </c>
      <c r="D207">
        <v>4.95</v>
      </c>
      <c r="E207">
        <v>31.7</v>
      </c>
      <c r="F207">
        <v>146.59</v>
      </c>
      <c r="G207">
        <v>362.35</v>
      </c>
      <c r="H207" t="str">
        <f t="shared" si="32"/>
        <v>砂土</v>
      </c>
      <c r="L207">
        <f t="shared" si="33"/>
        <v>13</v>
      </c>
      <c r="M207">
        <f t="shared" si="34"/>
        <v>7.5</v>
      </c>
      <c r="N207" t="s">
        <v>45</v>
      </c>
      <c r="O207">
        <f t="shared" si="37"/>
        <v>29</v>
      </c>
      <c r="P207">
        <v>266.74</v>
      </c>
      <c r="Q207">
        <f t="shared" si="35"/>
        <v>30</v>
      </c>
      <c r="R207">
        <v>5</v>
      </c>
      <c r="S207">
        <v>0.31</v>
      </c>
    </row>
    <row r="208" spans="1:19" x14ac:dyDescent="0.25">
      <c r="A208">
        <f t="shared" si="31"/>
        <v>1009</v>
      </c>
      <c r="B208">
        <v>3</v>
      </c>
      <c r="C208" t="s">
        <v>19</v>
      </c>
      <c r="D208">
        <v>4.95</v>
      </c>
      <c r="E208">
        <v>31.7</v>
      </c>
      <c r="F208">
        <f t="shared" ref="F208:G210" si="38">F207</f>
        <v>146.59</v>
      </c>
      <c r="G208">
        <f t="shared" si="38"/>
        <v>362.35</v>
      </c>
      <c r="H208" t="str">
        <f t="shared" si="32"/>
        <v>砂土</v>
      </c>
      <c r="L208">
        <f t="shared" si="33"/>
        <v>13</v>
      </c>
      <c r="M208">
        <f t="shared" si="34"/>
        <v>7.5</v>
      </c>
      <c r="N208" t="s">
        <v>45</v>
      </c>
      <c r="O208">
        <f t="shared" si="37"/>
        <v>29</v>
      </c>
      <c r="P208">
        <v>266.74</v>
      </c>
      <c r="Q208">
        <f t="shared" si="35"/>
        <v>30</v>
      </c>
      <c r="R208">
        <v>10</v>
      </c>
      <c r="S208">
        <v>0.46</v>
      </c>
    </row>
    <row r="209" spans="1:19" x14ac:dyDescent="0.25">
      <c r="A209">
        <f t="shared" si="31"/>
        <v>1009</v>
      </c>
      <c r="B209">
        <v>3</v>
      </c>
      <c r="C209" t="s">
        <v>19</v>
      </c>
      <c r="D209">
        <v>4.95</v>
      </c>
      <c r="E209">
        <v>31.7</v>
      </c>
      <c r="F209">
        <f t="shared" si="38"/>
        <v>146.59</v>
      </c>
      <c r="G209">
        <f t="shared" si="38"/>
        <v>362.35</v>
      </c>
      <c r="H209" t="str">
        <f t="shared" si="32"/>
        <v>砂土</v>
      </c>
      <c r="L209">
        <f t="shared" si="33"/>
        <v>13</v>
      </c>
      <c r="M209">
        <f t="shared" si="34"/>
        <v>7.5</v>
      </c>
      <c r="N209" t="s">
        <v>45</v>
      </c>
      <c r="O209">
        <f t="shared" si="37"/>
        <v>29</v>
      </c>
      <c r="P209">
        <v>266.74</v>
      </c>
      <c r="Q209">
        <f t="shared" si="35"/>
        <v>30</v>
      </c>
      <c r="R209">
        <v>15</v>
      </c>
      <c r="S209">
        <v>0.84</v>
      </c>
    </row>
    <row r="210" spans="1:19" x14ac:dyDescent="0.25">
      <c r="A210">
        <f t="shared" si="31"/>
        <v>1009</v>
      </c>
      <c r="B210">
        <v>3</v>
      </c>
      <c r="C210" t="s">
        <v>19</v>
      </c>
      <c r="D210">
        <v>4.95</v>
      </c>
      <c r="E210">
        <v>31.7</v>
      </c>
      <c r="F210">
        <f t="shared" si="38"/>
        <v>146.59</v>
      </c>
      <c r="G210">
        <f t="shared" si="38"/>
        <v>362.35</v>
      </c>
      <c r="H210" t="str">
        <f t="shared" si="32"/>
        <v>砂土</v>
      </c>
      <c r="L210">
        <f t="shared" si="33"/>
        <v>13</v>
      </c>
      <c r="M210">
        <f t="shared" si="34"/>
        <v>7.5</v>
      </c>
      <c r="N210" t="s">
        <v>45</v>
      </c>
      <c r="O210">
        <f t="shared" si="37"/>
        <v>29</v>
      </c>
      <c r="P210">
        <v>266.74</v>
      </c>
      <c r="Q210">
        <v>30</v>
      </c>
      <c r="R210">
        <v>20</v>
      </c>
      <c r="S210">
        <v>0.96</v>
      </c>
    </row>
    <row r="211" spans="1:19" x14ac:dyDescent="0.25">
      <c r="A211">
        <v>1010</v>
      </c>
      <c r="B211">
        <v>1</v>
      </c>
      <c r="C211" t="s">
        <v>30</v>
      </c>
      <c r="D211">
        <v>4.88</v>
      </c>
      <c r="E211">
        <v>7.2999999999999995E-2</v>
      </c>
      <c r="F211">
        <v>340</v>
      </c>
      <c r="G211">
        <v>216</v>
      </c>
      <c r="H211" t="s">
        <v>24</v>
      </c>
      <c r="I211" t="s">
        <v>22</v>
      </c>
      <c r="J211" t="s">
        <v>22</v>
      </c>
      <c r="K211" t="s">
        <v>22</v>
      </c>
      <c r="L211" t="s">
        <v>22</v>
      </c>
      <c r="M211">
        <v>5.0999999999999996</v>
      </c>
      <c r="N211" t="s">
        <v>29</v>
      </c>
      <c r="O211">
        <v>24</v>
      </c>
      <c r="P211">
        <v>50</v>
      </c>
      <c r="Q211">
        <v>25</v>
      </c>
      <c r="R211">
        <v>69</v>
      </c>
      <c r="S211">
        <v>0.83</v>
      </c>
    </row>
    <row r="212" spans="1:19" x14ac:dyDescent="0.25">
      <c r="A212">
        <v>1010</v>
      </c>
      <c r="B212">
        <v>1</v>
      </c>
      <c r="C212" t="s">
        <v>36</v>
      </c>
      <c r="D212">
        <v>5.91</v>
      </c>
      <c r="E212">
        <v>1.0999999999999999E-2</v>
      </c>
      <c r="F212">
        <v>350</v>
      </c>
      <c r="G212">
        <v>150</v>
      </c>
      <c r="H212" t="str">
        <f>H211</f>
        <v>砂土</v>
      </c>
      <c r="I212" t="s">
        <v>22</v>
      </c>
      <c r="J212" t="s">
        <v>22</v>
      </c>
      <c r="K212" t="s">
        <v>22</v>
      </c>
      <c r="L212" t="s">
        <v>22</v>
      </c>
      <c r="M212">
        <v>5.0999999999999996</v>
      </c>
      <c r="N212" t="s">
        <v>32</v>
      </c>
      <c r="O212">
        <v>24</v>
      </c>
      <c r="P212">
        <v>50</v>
      </c>
      <c r="Q212">
        <v>25</v>
      </c>
      <c r="R212">
        <v>69</v>
      </c>
      <c r="S212">
        <v>0.51</v>
      </c>
    </row>
    <row r="213" spans="1:19" x14ac:dyDescent="0.25">
      <c r="A213">
        <v>1010</v>
      </c>
      <c r="B213">
        <v>1</v>
      </c>
      <c r="C213" t="s">
        <v>40</v>
      </c>
      <c r="D213">
        <v>6.04</v>
      </c>
      <c r="E213">
        <v>3.8E-3</v>
      </c>
      <c r="F213">
        <v>495</v>
      </c>
      <c r="G213">
        <v>179</v>
      </c>
      <c r="H213" t="str">
        <f t="shared" ref="H213:H254" si="39">H212</f>
        <v>砂土</v>
      </c>
      <c r="I213" t="s">
        <v>22</v>
      </c>
      <c r="J213" t="s">
        <v>22</v>
      </c>
      <c r="K213" t="s">
        <v>22</v>
      </c>
      <c r="L213" t="s">
        <v>22</v>
      </c>
      <c r="M213">
        <v>5.0999999999999996</v>
      </c>
      <c r="N213" t="s">
        <v>38</v>
      </c>
      <c r="O213">
        <v>24</v>
      </c>
      <c r="P213">
        <v>50</v>
      </c>
      <c r="Q213">
        <v>25</v>
      </c>
      <c r="R213">
        <v>69</v>
      </c>
      <c r="S213">
        <v>0.53</v>
      </c>
    </row>
    <row r="214" spans="1:19" x14ac:dyDescent="0.25">
      <c r="A214">
        <v>1010</v>
      </c>
      <c r="B214">
        <v>1</v>
      </c>
      <c r="C214" t="s">
        <v>41</v>
      </c>
      <c r="D214">
        <v>6.75</v>
      </c>
      <c r="E214">
        <v>2.9999999999999997E-4</v>
      </c>
      <c r="F214">
        <v>524</v>
      </c>
      <c r="G214">
        <v>262</v>
      </c>
      <c r="H214" t="str">
        <f t="shared" si="39"/>
        <v>砂土</v>
      </c>
      <c r="I214" t="s">
        <v>22</v>
      </c>
      <c r="J214" t="s">
        <v>22</v>
      </c>
      <c r="K214" t="s">
        <v>22</v>
      </c>
      <c r="L214" t="s">
        <v>22</v>
      </c>
      <c r="M214">
        <v>5.0999999999999996</v>
      </c>
      <c r="N214" t="s">
        <v>43</v>
      </c>
      <c r="O214">
        <v>24</v>
      </c>
      <c r="P214">
        <v>50</v>
      </c>
      <c r="Q214">
        <v>25</v>
      </c>
      <c r="R214">
        <v>69</v>
      </c>
      <c r="S214">
        <v>0.72</v>
      </c>
    </row>
    <row r="215" spans="1:19" x14ac:dyDescent="0.25">
      <c r="A215">
        <v>1010</v>
      </c>
      <c r="B215">
        <v>2</v>
      </c>
      <c r="C215" t="s">
        <v>30</v>
      </c>
      <c r="D215">
        <v>4.88</v>
      </c>
      <c r="E215">
        <v>7.2999999999999995E-2</v>
      </c>
      <c r="F215">
        <v>340</v>
      </c>
      <c r="G215">
        <v>216</v>
      </c>
      <c r="H215" t="str">
        <f t="shared" si="39"/>
        <v>砂土</v>
      </c>
      <c r="I215" t="s">
        <v>22</v>
      </c>
      <c r="J215" t="s">
        <v>22</v>
      </c>
      <c r="K215" t="s">
        <v>22</v>
      </c>
      <c r="L215" t="s">
        <v>22</v>
      </c>
      <c r="M215">
        <v>5.0999999999999996</v>
      </c>
      <c r="N215" t="s">
        <v>29</v>
      </c>
      <c r="O215">
        <v>24</v>
      </c>
      <c r="P215">
        <v>50</v>
      </c>
      <c r="Q215">
        <v>25</v>
      </c>
      <c r="R215">
        <v>69</v>
      </c>
      <c r="S215">
        <v>0.82</v>
      </c>
    </row>
    <row r="216" spans="1:19" x14ac:dyDescent="0.25">
      <c r="A216">
        <v>1010</v>
      </c>
      <c r="B216">
        <v>2</v>
      </c>
      <c r="C216" t="s">
        <v>36</v>
      </c>
      <c r="D216">
        <v>5.91</v>
      </c>
      <c r="E216">
        <v>1.0999999999999999E-2</v>
      </c>
      <c r="F216">
        <v>350</v>
      </c>
      <c r="G216">
        <v>150</v>
      </c>
      <c r="H216" t="str">
        <f t="shared" si="39"/>
        <v>砂土</v>
      </c>
      <c r="I216" t="s">
        <v>22</v>
      </c>
      <c r="J216" t="s">
        <v>22</v>
      </c>
      <c r="K216" t="s">
        <v>22</v>
      </c>
      <c r="L216" t="s">
        <v>22</v>
      </c>
      <c r="M216">
        <v>5.0999999999999996</v>
      </c>
      <c r="N216" t="s">
        <v>32</v>
      </c>
      <c r="O216">
        <v>24</v>
      </c>
      <c r="P216">
        <v>50</v>
      </c>
      <c r="Q216">
        <v>25</v>
      </c>
      <c r="R216">
        <v>69</v>
      </c>
      <c r="S216">
        <v>0.36</v>
      </c>
    </row>
    <row r="217" spans="1:19" x14ac:dyDescent="0.25">
      <c r="A217">
        <v>1010</v>
      </c>
      <c r="B217">
        <v>2</v>
      </c>
      <c r="C217" t="s">
        <v>40</v>
      </c>
      <c r="D217">
        <v>6.04</v>
      </c>
      <c r="E217">
        <v>3.8E-3</v>
      </c>
      <c r="F217">
        <v>495</v>
      </c>
      <c r="G217">
        <v>179</v>
      </c>
      <c r="H217" t="str">
        <f t="shared" si="39"/>
        <v>砂土</v>
      </c>
      <c r="I217" t="s">
        <v>22</v>
      </c>
      <c r="J217" t="s">
        <v>22</v>
      </c>
      <c r="K217" t="s">
        <v>22</v>
      </c>
      <c r="L217" t="s">
        <v>22</v>
      </c>
      <c r="M217">
        <v>5.0999999999999996</v>
      </c>
      <c r="N217" t="s">
        <v>38</v>
      </c>
      <c r="O217">
        <v>24</v>
      </c>
      <c r="P217">
        <v>50</v>
      </c>
      <c r="Q217">
        <v>25</v>
      </c>
      <c r="R217">
        <v>69</v>
      </c>
      <c r="S217">
        <v>0.53</v>
      </c>
    </row>
    <row r="218" spans="1:19" x14ac:dyDescent="0.25">
      <c r="A218">
        <v>1010</v>
      </c>
      <c r="B218">
        <v>2</v>
      </c>
      <c r="C218" t="s">
        <v>41</v>
      </c>
      <c r="D218">
        <v>6.75</v>
      </c>
      <c r="E218">
        <v>2.9999999999999997E-4</v>
      </c>
      <c r="F218">
        <v>524</v>
      </c>
      <c r="G218">
        <v>262</v>
      </c>
      <c r="H218" t="str">
        <f t="shared" si="39"/>
        <v>砂土</v>
      </c>
      <c r="I218" t="s">
        <v>22</v>
      </c>
      <c r="J218" t="s">
        <v>22</v>
      </c>
      <c r="K218" t="s">
        <v>22</v>
      </c>
      <c r="L218" t="s">
        <v>22</v>
      </c>
      <c r="M218">
        <v>5.0999999999999996</v>
      </c>
      <c r="N218" t="s">
        <v>43</v>
      </c>
      <c r="O218">
        <v>24</v>
      </c>
      <c r="P218">
        <v>50</v>
      </c>
      <c r="Q218">
        <v>25</v>
      </c>
      <c r="R218">
        <v>69</v>
      </c>
      <c r="S218">
        <v>0.54</v>
      </c>
    </row>
    <row r="219" spans="1:19" x14ac:dyDescent="0.25">
      <c r="A219">
        <v>1010</v>
      </c>
      <c r="B219">
        <v>3</v>
      </c>
      <c r="C219" t="s">
        <v>30</v>
      </c>
      <c r="D219">
        <v>4.88</v>
      </c>
      <c r="E219">
        <v>7.2999999999999995E-2</v>
      </c>
      <c r="F219">
        <v>340</v>
      </c>
      <c r="G219">
        <v>216</v>
      </c>
      <c r="H219" t="str">
        <f t="shared" si="39"/>
        <v>砂土</v>
      </c>
      <c r="I219" t="s">
        <v>22</v>
      </c>
      <c r="J219" t="s">
        <v>22</v>
      </c>
      <c r="K219" t="s">
        <v>22</v>
      </c>
      <c r="L219" t="s">
        <v>22</v>
      </c>
      <c r="M219">
        <v>5.0999999999999996</v>
      </c>
      <c r="N219" t="s">
        <v>29</v>
      </c>
      <c r="O219">
        <v>24</v>
      </c>
      <c r="P219">
        <v>50</v>
      </c>
      <c r="Q219">
        <v>25</v>
      </c>
      <c r="R219">
        <v>69</v>
      </c>
      <c r="S219">
        <v>0.67</v>
      </c>
    </row>
    <row r="220" spans="1:19" x14ac:dyDescent="0.25">
      <c r="A220">
        <v>1010</v>
      </c>
      <c r="B220">
        <v>3</v>
      </c>
      <c r="C220" t="s">
        <v>36</v>
      </c>
      <c r="D220">
        <v>5.91</v>
      </c>
      <c r="E220">
        <v>1.0999999999999999E-2</v>
      </c>
      <c r="F220">
        <v>350</v>
      </c>
      <c r="G220">
        <v>150</v>
      </c>
      <c r="H220" t="str">
        <f t="shared" si="39"/>
        <v>砂土</v>
      </c>
      <c r="I220" t="s">
        <v>22</v>
      </c>
      <c r="J220" t="s">
        <v>22</v>
      </c>
      <c r="K220" t="s">
        <v>22</v>
      </c>
      <c r="L220" t="s">
        <v>22</v>
      </c>
      <c r="M220">
        <v>5.0999999999999996</v>
      </c>
      <c r="N220" t="s">
        <v>32</v>
      </c>
      <c r="O220">
        <v>24</v>
      </c>
      <c r="P220">
        <v>50</v>
      </c>
      <c r="Q220">
        <v>25</v>
      </c>
      <c r="R220">
        <v>69</v>
      </c>
      <c r="S220">
        <v>0.45</v>
      </c>
    </row>
    <row r="221" spans="1:19" x14ac:dyDescent="0.25">
      <c r="A221">
        <v>1010</v>
      </c>
      <c r="B221">
        <v>3</v>
      </c>
      <c r="C221" t="s">
        <v>40</v>
      </c>
      <c r="D221">
        <v>6.04</v>
      </c>
      <c r="E221">
        <v>3.8E-3</v>
      </c>
      <c r="F221">
        <v>495</v>
      </c>
      <c r="G221">
        <v>179</v>
      </c>
      <c r="H221" t="str">
        <f t="shared" si="39"/>
        <v>砂土</v>
      </c>
      <c r="I221" t="s">
        <v>22</v>
      </c>
      <c r="J221" t="s">
        <v>22</v>
      </c>
      <c r="K221" t="s">
        <v>22</v>
      </c>
      <c r="L221" t="s">
        <v>22</v>
      </c>
      <c r="M221">
        <v>5.0999999999999996</v>
      </c>
      <c r="N221" t="s">
        <v>38</v>
      </c>
      <c r="O221">
        <v>24</v>
      </c>
      <c r="P221">
        <v>50</v>
      </c>
      <c r="Q221">
        <v>25</v>
      </c>
      <c r="R221">
        <v>69</v>
      </c>
      <c r="S221">
        <v>0.48</v>
      </c>
    </row>
    <row r="222" spans="1:19" x14ac:dyDescent="0.25">
      <c r="A222">
        <v>1010</v>
      </c>
      <c r="B222">
        <v>3</v>
      </c>
      <c r="C222" t="s">
        <v>41</v>
      </c>
      <c r="D222">
        <v>6.75</v>
      </c>
      <c r="E222">
        <v>2.9999999999999997E-4</v>
      </c>
      <c r="F222">
        <v>524</v>
      </c>
      <c r="G222">
        <v>262</v>
      </c>
      <c r="H222" t="str">
        <f t="shared" si="39"/>
        <v>砂土</v>
      </c>
      <c r="I222" t="s">
        <v>22</v>
      </c>
      <c r="J222" t="s">
        <v>22</v>
      </c>
      <c r="K222" t="s">
        <v>22</v>
      </c>
      <c r="L222" t="s">
        <v>22</v>
      </c>
      <c r="M222">
        <v>5.0999999999999996</v>
      </c>
      <c r="N222" t="s">
        <v>43</v>
      </c>
      <c r="O222">
        <v>24</v>
      </c>
      <c r="P222">
        <v>50</v>
      </c>
      <c r="Q222">
        <v>25</v>
      </c>
      <c r="R222">
        <v>69</v>
      </c>
      <c r="S222">
        <v>0.64</v>
      </c>
    </row>
    <row r="223" spans="1:19" x14ac:dyDescent="0.25">
      <c r="A223">
        <v>1010</v>
      </c>
      <c r="B223">
        <v>4</v>
      </c>
      <c r="C223" t="s">
        <v>30</v>
      </c>
      <c r="D223">
        <v>4.88</v>
      </c>
      <c r="E223">
        <v>7.2999999999999995E-2</v>
      </c>
      <c r="F223">
        <v>340</v>
      </c>
      <c r="G223">
        <v>216</v>
      </c>
      <c r="H223" t="str">
        <f t="shared" si="39"/>
        <v>砂土</v>
      </c>
      <c r="I223" t="s">
        <v>22</v>
      </c>
      <c r="J223" t="s">
        <v>22</v>
      </c>
      <c r="K223" t="s">
        <v>22</v>
      </c>
      <c r="L223" t="s">
        <v>22</v>
      </c>
      <c r="M223">
        <v>5.0999999999999996</v>
      </c>
      <c r="N223" t="s">
        <v>29</v>
      </c>
      <c r="O223">
        <v>24</v>
      </c>
      <c r="P223">
        <v>50</v>
      </c>
      <c r="Q223">
        <v>25</v>
      </c>
      <c r="R223">
        <v>69</v>
      </c>
      <c r="S223">
        <v>0.84</v>
      </c>
    </row>
    <row r="224" spans="1:19" x14ac:dyDescent="0.25">
      <c r="A224">
        <v>1010</v>
      </c>
      <c r="B224">
        <v>4</v>
      </c>
      <c r="C224" t="s">
        <v>36</v>
      </c>
      <c r="D224">
        <v>5.91</v>
      </c>
      <c r="E224">
        <v>1.0999999999999999E-2</v>
      </c>
      <c r="F224">
        <v>350</v>
      </c>
      <c r="G224">
        <v>150</v>
      </c>
      <c r="H224" t="str">
        <f t="shared" si="39"/>
        <v>砂土</v>
      </c>
      <c r="I224" t="s">
        <v>22</v>
      </c>
      <c r="J224" t="s">
        <v>22</v>
      </c>
      <c r="K224" t="s">
        <v>22</v>
      </c>
      <c r="L224" t="s">
        <v>22</v>
      </c>
      <c r="M224">
        <v>5.0999999999999996</v>
      </c>
      <c r="N224" t="s">
        <v>32</v>
      </c>
      <c r="O224">
        <v>24</v>
      </c>
      <c r="P224">
        <v>50</v>
      </c>
      <c r="Q224">
        <v>25</v>
      </c>
      <c r="R224">
        <v>69</v>
      </c>
      <c r="S224">
        <v>0.43</v>
      </c>
    </row>
    <row r="225" spans="1:19" x14ac:dyDescent="0.25">
      <c r="A225">
        <v>1010</v>
      </c>
      <c r="B225">
        <v>4</v>
      </c>
      <c r="C225" t="s">
        <v>40</v>
      </c>
      <c r="D225">
        <v>6.04</v>
      </c>
      <c r="E225">
        <v>3.8E-3</v>
      </c>
      <c r="F225">
        <v>495</v>
      </c>
      <c r="G225">
        <v>179</v>
      </c>
      <c r="H225" t="str">
        <f t="shared" si="39"/>
        <v>砂土</v>
      </c>
      <c r="I225" t="s">
        <v>22</v>
      </c>
      <c r="J225" t="s">
        <v>22</v>
      </c>
      <c r="K225" t="s">
        <v>22</v>
      </c>
      <c r="L225" t="s">
        <v>22</v>
      </c>
      <c r="M225">
        <v>5.0999999999999996</v>
      </c>
      <c r="N225" t="s">
        <v>38</v>
      </c>
      <c r="O225">
        <v>24</v>
      </c>
      <c r="P225">
        <v>50</v>
      </c>
      <c r="Q225">
        <v>25</v>
      </c>
      <c r="R225">
        <v>69</v>
      </c>
      <c r="S225">
        <v>0.43</v>
      </c>
    </row>
    <row r="226" spans="1:19" x14ac:dyDescent="0.25">
      <c r="A226">
        <v>1010</v>
      </c>
      <c r="B226">
        <v>4</v>
      </c>
      <c r="C226" t="s">
        <v>41</v>
      </c>
      <c r="D226">
        <v>6.75</v>
      </c>
      <c r="E226">
        <v>2.9999999999999997E-4</v>
      </c>
      <c r="F226">
        <v>524</v>
      </c>
      <c r="G226">
        <v>262</v>
      </c>
      <c r="H226" t="str">
        <f t="shared" si="39"/>
        <v>砂土</v>
      </c>
      <c r="I226" t="s">
        <v>22</v>
      </c>
      <c r="J226" t="s">
        <v>22</v>
      </c>
      <c r="K226" t="s">
        <v>22</v>
      </c>
      <c r="L226" t="s">
        <v>22</v>
      </c>
      <c r="M226">
        <v>5.0999999999999996</v>
      </c>
      <c r="N226" t="s">
        <v>43</v>
      </c>
      <c r="O226">
        <v>24</v>
      </c>
      <c r="P226">
        <v>50</v>
      </c>
      <c r="Q226">
        <v>25</v>
      </c>
      <c r="R226">
        <v>69</v>
      </c>
      <c r="S226">
        <v>0.66</v>
      </c>
    </row>
    <row r="227" spans="1:19" x14ac:dyDescent="0.25">
      <c r="A227">
        <v>1010</v>
      </c>
      <c r="B227">
        <v>5</v>
      </c>
      <c r="C227" t="s">
        <v>30</v>
      </c>
      <c r="D227">
        <v>4.88</v>
      </c>
      <c r="E227">
        <v>7.2999999999999995E-2</v>
      </c>
      <c r="F227">
        <v>340</v>
      </c>
      <c r="G227">
        <v>216</v>
      </c>
      <c r="H227" t="str">
        <f t="shared" si="39"/>
        <v>砂土</v>
      </c>
      <c r="I227" t="s">
        <v>22</v>
      </c>
      <c r="J227" t="s">
        <v>22</v>
      </c>
      <c r="K227" t="s">
        <v>22</v>
      </c>
      <c r="L227" t="s">
        <v>22</v>
      </c>
      <c r="M227">
        <v>5.0999999999999996</v>
      </c>
      <c r="N227" t="s">
        <v>29</v>
      </c>
      <c r="O227">
        <v>24</v>
      </c>
      <c r="P227">
        <v>50</v>
      </c>
      <c r="Q227">
        <v>25</v>
      </c>
      <c r="R227">
        <v>69</v>
      </c>
      <c r="S227">
        <v>0.9</v>
      </c>
    </row>
    <row r="228" spans="1:19" x14ac:dyDescent="0.25">
      <c r="A228">
        <v>1010</v>
      </c>
      <c r="B228">
        <v>5</v>
      </c>
      <c r="C228" t="s">
        <v>36</v>
      </c>
      <c r="D228">
        <v>5.91</v>
      </c>
      <c r="E228">
        <v>1.0999999999999999E-2</v>
      </c>
      <c r="F228">
        <v>350</v>
      </c>
      <c r="G228">
        <v>150</v>
      </c>
      <c r="H228" t="str">
        <f t="shared" si="39"/>
        <v>砂土</v>
      </c>
      <c r="I228" t="s">
        <v>22</v>
      </c>
      <c r="J228" t="s">
        <v>22</v>
      </c>
      <c r="K228" t="s">
        <v>22</v>
      </c>
      <c r="L228" t="s">
        <v>22</v>
      </c>
      <c r="M228">
        <v>5.0999999999999996</v>
      </c>
      <c r="N228" t="s">
        <v>32</v>
      </c>
      <c r="O228">
        <v>24</v>
      </c>
      <c r="P228">
        <v>50</v>
      </c>
      <c r="Q228">
        <v>25</v>
      </c>
      <c r="R228">
        <v>69</v>
      </c>
      <c r="S228">
        <v>0.67</v>
      </c>
    </row>
    <row r="229" spans="1:19" x14ac:dyDescent="0.25">
      <c r="A229">
        <v>1010</v>
      </c>
      <c r="B229">
        <v>5</v>
      </c>
      <c r="C229" t="s">
        <v>40</v>
      </c>
      <c r="D229">
        <v>6.04</v>
      </c>
      <c r="E229">
        <v>3.8E-3</v>
      </c>
      <c r="F229">
        <v>495</v>
      </c>
      <c r="G229">
        <v>179</v>
      </c>
      <c r="H229" t="str">
        <f t="shared" si="39"/>
        <v>砂土</v>
      </c>
      <c r="I229" t="s">
        <v>22</v>
      </c>
      <c r="J229" t="s">
        <v>22</v>
      </c>
      <c r="K229" t="s">
        <v>22</v>
      </c>
      <c r="L229" t="s">
        <v>22</v>
      </c>
      <c r="M229">
        <v>5.0999999999999996</v>
      </c>
      <c r="N229" t="s">
        <v>38</v>
      </c>
      <c r="O229">
        <v>24</v>
      </c>
      <c r="P229">
        <v>50</v>
      </c>
      <c r="Q229">
        <v>25</v>
      </c>
      <c r="R229">
        <v>69</v>
      </c>
      <c r="S229">
        <v>0.77</v>
      </c>
    </row>
    <row r="230" spans="1:19" x14ac:dyDescent="0.25">
      <c r="A230">
        <v>1010</v>
      </c>
      <c r="B230">
        <v>5</v>
      </c>
      <c r="C230" t="s">
        <v>41</v>
      </c>
      <c r="D230">
        <v>6.75</v>
      </c>
      <c r="E230">
        <v>2.9999999999999997E-4</v>
      </c>
      <c r="F230">
        <v>524</v>
      </c>
      <c r="G230">
        <v>262</v>
      </c>
      <c r="H230" t="str">
        <f t="shared" si="39"/>
        <v>砂土</v>
      </c>
      <c r="I230" t="s">
        <v>22</v>
      </c>
      <c r="J230" t="s">
        <v>22</v>
      </c>
      <c r="K230" t="s">
        <v>22</v>
      </c>
      <c r="L230" t="s">
        <v>22</v>
      </c>
      <c r="M230">
        <v>5.0999999999999996</v>
      </c>
      <c r="N230" t="s">
        <v>43</v>
      </c>
      <c r="O230">
        <v>24</v>
      </c>
      <c r="P230">
        <v>50</v>
      </c>
      <c r="Q230">
        <v>25</v>
      </c>
      <c r="R230">
        <v>69</v>
      </c>
      <c r="S230">
        <v>0.76</v>
      </c>
    </row>
    <row r="231" spans="1:19" x14ac:dyDescent="0.25">
      <c r="A231">
        <v>1010</v>
      </c>
      <c r="B231">
        <v>6</v>
      </c>
      <c r="C231" t="s">
        <v>30</v>
      </c>
      <c r="D231">
        <v>4.88</v>
      </c>
      <c r="E231">
        <v>7.2999999999999995E-2</v>
      </c>
      <c r="F231">
        <v>340</v>
      </c>
      <c r="G231">
        <v>216</v>
      </c>
      <c r="H231" t="str">
        <f t="shared" si="39"/>
        <v>砂土</v>
      </c>
      <c r="I231" t="s">
        <v>22</v>
      </c>
      <c r="J231" t="s">
        <v>22</v>
      </c>
      <c r="K231" t="s">
        <v>22</v>
      </c>
      <c r="L231" t="s">
        <v>22</v>
      </c>
      <c r="M231">
        <v>5.0999999999999996</v>
      </c>
      <c r="N231" t="s">
        <v>29</v>
      </c>
      <c r="O231">
        <v>24</v>
      </c>
      <c r="P231">
        <v>50</v>
      </c>
      <c r="Q231">
        <v>25</v>
      </c>
      <c r="R231">
        <v>69</v>
      </c>
      <c r="S231">
        <v>0.96</v>
      </c>
    </row>
    <row r="232" spans="1:19" x14ac:dyDescent="0.25">
      <c r="A232">
        <v>1010</v>
      </c>
      <c r="B232">
        <v>6</v>
      </c>
      <c r="C232" t="s">
        <v>36</v>
      </c>
      <c r="D232">
        <v>5.91</v>
      </c>
      <c r="E232">
        <v>1.0999999999999999E-2</v>
      </c>
      <c r="F232">
        <v>350</v>
      </c>
      <c r="G232">
        <v>150</v>
      </c>
      <c r="H232" t="str">
        <f t="shared" si="39"/>
        <v>砂土</v>
      </c>
      <c r="I232" t="s">
        <v>22</v>
      </c>
      <c r="J232" t="s">
        <v>22</v>
      </c>
      <c r="K232" t="s">
        <v>22</v>
      </c>
      <c r="L232" t="s">
        <v>22</v>
      </c>
      <c r="M232">
        <v>5.0999999999999996</v>
      </c>
      <c r="N232" t="s">
        <v>32</v>
      </c>
      <c r="O232">
        <v>24</v>
      </c>
      <c r="P232">
        <v>50</v>
      </c>
      <c r="Q232">
        <v>25</v>
      </c>
      <c r="R232">
        <v>69</v>
      </c>
      <c r="S232">
        <v>0.7</v>
      </c>
    </row>
    <row r="233" spans="1:19" x14ac:dyDescent="0.25">
      <c r="A233">
        <v>1010</v>
      </c>
      <c r="B233">
        <v>6</v>
      </c>
      <c r="C233" t="s">
        <v>40</v>
      </c>
      <c r="D233">
        <v>6.04</v>
      </c>
      <c r="E233">
        <v>3.8E-3</v>
      </c>
      <c r="F233">
        <v>495</v>
      </c>
      <c r="G233">
        <v>179</v>
      </c>
      <c r="H233" t="str">
        <f t="shared" si="39"/>
        <v>砂土</v>
      </c>
      <c r="I233" t="s">
        <v>22</v>
      </c>
      <c r="J233" t="s">
        <v>22</v>
      </c>
      <c r="K233" t="s">
        <v>22</v>
      </c>
      <c r="L233" t="s">
        <v>22</v>
      </c>
      <c r="M233">
        <v>5.0999999999999996</v>
      </c>
      <c r="N233" t="s">
        <v>38</v>
      </c>
      <c r="O233">
        <v>24</v>
      </c>
      <c r="P233">
        <v>50</v>
      </c>
      <c r="Q233">
        <v>25</v>
      </c>
      <c r="R233">
        <v>69</v>
      </c>
      <c r="S233">
        <v>0.86</v>
      </c>
    </row>
    <row r="234" spans="1:19" x14ac:dyDescent="0.25">
      <c r="A234">
        <v>1010</v>
      </c>
      <c r="B234">
        <v>6</v>
      </c>
      <c r="C234" t="s">
        <v>41</v>
      </c>
      <c r="D234">
        <v>6.75</v>
      </c>
      <c r="E234">
        <v>2.9999999999999997E-4</v>
      </c>
      <c r="F234">
        <v>524</v>
      </c>
      <c r="G234">
        <v>262</v>
      </c>
      <c r="H234" t="str">
        <f t="shared" si="39"/>
        <v>砂土</v>
      </c>
      <c r="I234" t="s">
        <v>22</v>
      </c>
      <c r="J234" t="s">
        <v>22</v>
      </c>
      <c r="K234" t="s">
        <v>22</v>
      </c>
      <c r="L234" t="s">
        <v>22</v>
      </c>
      <c r="M234">
        <v>5.0999999999999996</v>
      </c>
      <c r="N234" t="s">
        <v>43</v>
      </c>
      <c r="O234">
        <v>24</v>
      </c>
      <c r="P234">
        <v>50</v>
      </c>
      <c r="Q234">
        <v>25</v>
      </c>
      <c r="R234">
        <v>69</v>
      </c>
      <c r="S234">
        <v>0.71</v>
      </c>
    </row>
    <row r="235" spans="1:19" x14ac:dyDescent="0.25">
      <c r="A235">
        <v>1010</v>
      </c>
      <c r="B235">
        <v>7</v>
      </c>
      <c r="C235" t="s">
        <v>30</v>
      </c>
      <c r="D235">
        <v>4.88</v>
      </c>
      <c r="E235">
        <v>7.2999999999999995E-2</v>
      </c>
      <c r="F235">
        <v>340</v>
      </c>
      <c r="G235">
        <v>216</v>
      </c>
      <c r="H235" t="str">
        <f t="shared" si="39"/>
        <v>砂土</v>
      </c>
      <c r="I235" t="s">
        <v>22</v>
      </c>
      <c r="J235" t="s">
        <v>22</v>
      </c>
      <c r="K235" t="s">
        <v>22</v>
      </c>
      <c r="L235" t="s">
        <v>22</v>
      </c>
      <c r="M235">
        <v>5.0999999999999996</v>
      </c>
      <c r="N235" t="s">
        <v>29</v>
      </c>
      <c r="O235">
        <v>24</v>
      </c>
      <c r="P235">
        <v>50</v>
      </c>
      <c r="Q235">
        <v>25</v>
      </c>
      <c r="R235">
        <v>69</v>
      </c>
      <c r="S235">
        <v>0.92</v>
      </c>
    </row>
    <row r="236" spans="1:19" x14ac:dyDescent="0.25">
      <c r="A236">
        <v>1010</v>
      </c>
      <c r="B236">
        <v>7</v>
      </c>
      <c r="C236" t="s">
        <v>36</v>
      </c>
      <c r="D236">
        <v>5.91</v>
      </c>
      <c r="E236">
        <v>1.0999999999999999E-2</v>
      </c>
      <c r="F236">
        <v>350</v>
      </c>
      <c r="G236">
        <v>150</v>
      </c>
      <c r="H236" t="str">
        <f t="shared" si="39"/>
        <v>砂土</v>
      </c>
      <c r="I236" t="s">
        <v>22</v>
      </c>
      <c r="J236" t="s">
        <v>22</v>
      </c>
      <c r="K236" t="s">
        <v>22</v>
      </c>
      <c r="L236" t="s">
        <v>22</v>
      </c>
      <c r="M236">
        <v>5.0999999999999996</v>
      </c>
      <c r="N236" t="s">
        <v>32</v>
      </c>
      <c r="O236">
        <v>24</v>
      </c>
      <c r="P236">
        <v>50</v>
      </c>
      <c r="Q236">
        <v>25</v>
      </c>
      <c r="R236">
        <v>69</v>
      </c>
      <c r="S236">
        <v>0.6</v>
      </c>
    </row>
    <row r="237" spans="1:19" x14ac:dyDescent="0.25">
      <c r="A237">
        <v>1010</v>
      </c>
      <c r="B237">
        <v>7</v>
      </c>
      <c r="C237" t="s">
        <v>40</v>
      </c>
      <c r="D237">
        <v>6.04</v>
      </c>
      <c r="E237">
        <v>3.8E-3</v>
      </c>
      <c r="F237">
        <v>495</v>
      </c>
      <c r="G237">
        <v>179</v>
      </c>
      <c r="H237" t="str">
        <f t="shared" si="39"/>
        <v>砂土</v>
      </c>
      <c r="I237" t="s">
        <v>22</v>
      </c>
      <c r="J237" t="s">
        <v>22</v>
      </c>
      <c r="K237" t="s">
        <v>22</v>
      </c>
      <c r="L237" t="s">
        <v>22</v>
      </c>
      <c r="M237">
        <v>5.0999999999999996</v>
      </c>
      <c r="N237" t="s">
        <v>38</v>
      </c>
      <c r="O237">
        <v>24</v>
      </c>
      <c r="P237">
        <v>50</v>
      </c>
      <c r="Q237">
        <v>25</v>
      </c>
      <c r="R237">
        <v>69</v>
      </c>
      <c r="S237">
        <v>0.57999999999999996</v>
      </c>
    </row>
    <row r="238" spans="1:19" x14ac:dyDescent="0.25">
      <c r="A238">
        <v>1010</v>
      </c>
      <c r="B238">
        <v>7</v>
      </c>
      <c r="C238" t="s">
        <v>41</v>
      </c>
      <c r="D238">
        <v>6.75</v>
      </c>
      <c r="E238">
        <v>2.9999999999999997E-4</v>
      </c>
      <c r="F238">
        <v>524</v>
      </c>
      <c r="G238">
        <v>262</v>
      </c>
      <c r="H238" t="str">
        <f t="shared" si="39"/>
        <v>砂土</v>
      </c>
      <c r="I238" t="s">
        <v>22</v>
      </c>
      <c r="J238" t="s">
        <v>22</v>
      </c>
      <c r="K238" t="s">
        <v>22</v>
      </c>
      <c r="L238" t="s">
        <v>22</v>
      </c>
      <c r="M238">
        <v>5.0999999999999996</v>
      </c>
      <c r="N238" t="s">
        <v>43</v>
      </c>
      <c r="O238">
        <v>24</v>
      </c>
      <c r="P238">
        <v>50</v>
      </c>
      <c r="Q238">
        <v>25</v>
      </c>
      <c r="R238">
        <v>69</v>
      </c>
      <c r="S238">
        <v>0.85</v>
      </c>
    </row>
    <row r="239" spans="1:19" x14ac:dyDescent="0.25">
      <c r="A239">
        <v>1010</v>
      </c>
      <c r="B239">
        <v>8</v>
      </c>
      <c r="C239" t="s">
        <v>30</v>
      </c>
      <c r="D239">
        <v>4.88</v>
      </c>
      <c r="E239">
        <v>7.2999999999999995E-2</v>
      </c>
      <c r="F239">
        <v>340</v>
      </c>
      <c r="G239">
        <v>216</v>
      </c>
      <c r="H239" t="str">
        <f t="shared" si="39"/>
        <v>砂土</v>
      </c>
      <c r="I239" t="s">
        <v>22</v>
      </c>
      <c r="J239" t="s">
        <v>22</v>
      </c>
      <c r="K239" t="s">
        <v>22</v>
      </c>
      <c r="L239" t="s">
        <v>22</v>
      </c>
      <c r="M239">
        <v>5.0999999999999996</v>
      </c>
      <c r="N239" t="s">
        <v>29</v>
      </c>
      <c r="O239">
        <v>24</v>
      </c>
      <c r="P239">
        <v>50</v>
      </c>
      <c r="Q239">
        <v>25</v>
      </c>
      <c r="R239">
        <v>69</v>
      </c>
      <c r="S239">
        <v>0.94</v>
      </c>
    </row>
    <row r="240" spans="1:19" x14ac:dyDescent="0.25">
      <c r="A240">
        <v>1010</v>
      </c>
      <c r="B240">
        <v>8</v>
      </c>
      <c r="C240" t="s">
        <v>36</v>
      </c>
      <c r="D240">
        <v>5.91</v>
      </c>
      <c r="E240">
        <v>1.0999999999999999E-2</v>
      </c>
      <c r="F240">
        <v>350</v>
      </c>
      <c r="G240">
        <v>150</v>
      </c>
      <c r="H240" t="str">
        <f t="shared" si="39"/>
        <v>砂土</v>
      </c>
      <c r="I240" t="s">
        <v>22</v>
      </c>
      <c r="J240" t="s">
        <v>22</v>
      </c>
      <c r="K240" t="s">
        <v>22</v>
      </c>
      <c r="L240" t="s">
        <v>22</v>
      </c>
      <c r="M240">
        <v>5.0999999999999996</v>
      </c>
      <c r="N240" t="s">
        <v>32</v>
      </c>
      <c r="O240">
        <v>24</v>
      </c>
      <c r="P240">
        <v>50</v>
      </c>
      <c r="Q240">
        <v>25</v>
      </c>
      <c r="R240">
        <v>69</v>
      </c>
      <c r="S240">
        <v>0.45</v>
      </c>
    </row>
    <row r="241" spans="1:19" x14ac:dyDescent="0.25">
      <c r="A241">
        <v>1010</v>
      </c>
      <c r="B241">
        <v>8</v>
      </c>
      <c r="C241" t="s">
        <v>40</v>
      </c>
      <c r="D241">
        <v>6.04</v>
      </c>
      <c r="E241">
        <v>3.8E-3</v>
      </c>
      <c r="F241">
        <v>495</v>
      </c>
      <c r="G241">
        <v>179</v>
      </c>
      <c r="H241" t="str">
        <f t="shared" si="39"/>
        <v>砂土</v>
      </c>
      <c r="I241" t="s">
        <v>22</v>
      </c>
      <c r="J241" t="s">
        <v>22</v>
      </c>
      <c r="K241" t="s">
        <v>22</v>
      </c>
      <c r="L241" t="s">
        <v>22</v>
      </c>
      <c r="M241">
        <v>5.0999999999999996</v>
      </c>
      <c r="N241" t="s">
        <v>38</v>
      </c>
      <c r="O241">
        <v>24</v>
      </c>
      <c r="P241">
        <v>50</v>
      </c>
      <c r="Q241">
        <v>25</v>
      </c>
      <c r="R241">
        <v>69</v>
      </c>
      <c r="S241">
        <v>0.59</v>
      </c>
    </row>
    <row r="242" spans="1:19" x14ac:dyDescent="0.25">
      <c r="A242">
        <v>1010</v>
      </c>
      <c r="B242">
        <v>8</v>
      </c>
      <c r="C242" t="s">
        <v>41</v>
      </c>
      <c r="D242">
        <v>6.75</v>
      </c>
      <c r="E242">
        <v>2.9999999999999997E-4</v>
      </c>
      <c r="F242">
        <v>524</v>
      </c>
      <c r="G242">
        <v>262</v>
      </c>
      <c r="H242" t="str">
        <f t="shared" si="39"/>
        <v>砂土</v>
      </c>
      <c r="I242" t="s">
        <v>22</v>
      </c>
      <c r="J242" t="s">
        <v>22</v>
      </c>
      <c r="K242" t="s">
        <v>22</v>
      </c>
      <c r="L242" t="s">
        <v>22</v>
      </c>
      <c r="M242">
        <v>5.0999999999999996</v>
      </c>
      <c r="N242" t="s">
        <v>43</v>
      </c>
      <c r="O242">
        <v>24</v>
      </c>
      <c r="P242">
        <v>50</v>
      </c>
      <c r="Q242">
        <v>25</v>
      </c>
      <c r="R242">
        <v>69</v>
      </c>
      <c r="S242">
        <v>0.64</v>
      </c>
    </row>
    <row r="243" spans="1:19" x14ac:dyDescent="0.25">
      <c r="A243">
        <v>1010</v>
      </c>
      <c r="B243">
        <v>9</v>
      </c>
      <c r="C243" t="s">
        <v>30</v>
      </c>
      <c r="D243">
        <v>4.88</v>
      </c>
      <c r="E243">
        <v>7.2999999999999995E-2</v>
      </c>
      <c r="F243">
        <v>340</v>
      </c>
      <c r="G243">
        <v>216</v>
      </c>
      <c r="H243" t="str">
        <f t="shared" si="39"/>
        <v>砂土</v>
      </c>
      <c r="I243" t="s">
        <v>22</v>
      </c>
      <c r="J243" t="s">
        <v>22</v>
      </c>
      <c r="K243" t="s">
        <v>22</v>
      </c>
      <c r="L243" t="s">
        <v>22</v>
      </c>
      <c r="M243">
        <v>5.0999999999999996</v>
      </c>
      <c r="N243" t="s">
        <v>29</v>
      </c>
      <c r="O243">
        <v>24</v>
      </c>
      <c r="P243">
        <v>50</v>
      </c>
      <c r="Q243">
        <v>25</v>
      </c>
      <c r="R243">
        <v>69</v>
      </c>
      <c r="S243">
        <v>0.83</v>
      </c>
    </row>
    <row r="244" spans="1:19" x14ac:dyDescent="0.25">
      <c r="A244">
        <v>1010</v>
      </c>
      <c r="B244">
        <v>9</v>
      </c>
      <c r="C244" t="s">
        <v>36</v>
      </c>
      <c r="D244">
        <v>5.91</v>
      </c>
      <c r="E244">
        <v>1.0999999999999999E-2</v>
      </c>
      <c r="F244">
        <v>350</v>
      </c>
      <c r="G244">
        <v>150</v>
      </c>
      <c r="H244" t="str">
        <f t="shared" si="39"/>
        <v>砂土</v>
      </c>
      <c r="I244" t="s">
        <v>22</v>
      </c>
      <c r="J244" t="s">
        <v>22</v>
      </c>
      <c r="K244" t="s">
        <v>22</v>
      </c>
      <c r="L244" t="s">
        <v>22</v>
      </c>
      <c r="M244">
        <v>5.0999999999999996</v>
      </c>
      <c r="N244" t="s">
        <v>32</v>
      </c>
      <c r="O244">
        <v>24</v>
      </c>
      <c r="P244">
        <v>50</v>
      </c>
      <c r="Q244">
        <v>25</v>
      </c>
      <c r="R244">
        <v>69</v>
      </c>
      <c r="S244">
        <v>0.46</v>
      </c>
    </row>
    <row r="245" spans="1:19" x14ac:dyDescent="0.25">
      <c r="A245">
        <v>1010</v>
      </c>
      <c r="B245">
        <v>9</v>
      </c>
      <c r="C245" t="s">
        <v>40</v>
      </c>
      <c r="D245">
        <v>6.04</v>
      </c>
      <c r="E245">
        <v>3.8E-3</v>
      </c>
      <c r="F245">
        <v>495</v>
      </c>
      <c r="G245">
        <v>179</v>
      </c>
      <c r="H245" t="str">
        <f t="shared" si="39"/>
        <v>砂土</v>
      </c>
      <c r="I245" t="s">
        <v>22</v>
      </c>
      <c r="J245" t="s">
        <v>22</v>
      </c>
      <c r="K245" t="s">
        <v>22</v>
      </c>
      <c r="L245" t="s">
        <v>22</v>
      </c>
      <c r="M245">
        <v>5.0999999999999996</v>
      </c>
      <c r="N245" t="s">
        <v>38</v>
      </c>
      <c r="O245">
        <v>24</v>
      </c>
      <c r="P245">
        <v>50</v>
      </c>
      <c r="Q245">
        <v>25</v>
      </c>
      <c r="R245">
        <v>69</v>
      </c>
      <c r="S245">
        <v>0.45</v>
      </c>
    </row>
    <row r="246" spans="1:19" x14ac:dyDescent="0.25">
      <c r="A246">
        <v>1010</v>
      </c>
      <c r="B246">
        <v>9</v>
      </c>
      <c r="C246" t="s">
        <v>41</v>
      </c>
      <c r="D246">
        <v>6.75</v>
      </c>
      <c r="E246">
        <v>2.9999999999999997E-4</v>
      </c>
      <c r="F246">
        <v>524</v>
      </c>
      <c r="G246">
        <v>262</v>
      </c>
      <c r="H246" t="str">
        <f t="shared" si="39"/>
        <v>砂土</v>
      </c>
      <c r="I246" t="s">
        <v>22</v>
      </c>
      <c r="J246" t="s">
        <v>22</v>
      </c>
      <c r="K246" t="s">
        <v>22</v>
      </c>
      <c r="L246" t="s">
        <v>22</v>
      </c>
      <c r="M246">
        <v>5.0999999999999996</v>
      </c>
      <c r="N246" t="s">
        <v>43</v>
      </c>
      <c r="O246">
        <v>24</v>
      </c>
      <c r="P246">
        <v>50</v>
      </c>
      <c r="Q246">
        <v>25</v>
      </c>
      <c r="R246">
        <v>69</v>
      </c>
      <c r="S246">
        <v>0.64</v>
      </c>
    </row>
    <row r="247" spans="1:19" x14ac:dyDescent="0.25">
      <c r="A247">
        <v>1010</v>
      </c>
      <c r="B247">
        <v>10</v>
      </c>
      <c r="C247" t="s">
        <v>30</v>
      </c>
      <c r="D247">
        <v>4.88</v>
      </c>
      <c r="E247">
        <v>7.2999999999999995E-2</v>
      </c>
      <c r="F247">
        <v>340</v>
      </c>
      <c r="G247">
        <v>216</v>
      </c>
      <c r="H247" t="str">
        <f t="shared" si="39"/>
        <v>砂土</v>
      </c>
      <c r="I247" t="s">
        <v>22</v>
      </c>
      <c r="J247" t="s">
        <v>22</v>
      </c>
      <c r="K247" t="s">
        <v>22</v>
      </c>
      <c r="L247" t="s">
        <v>22</v>
      </c>
      <c r="M247">
        <v>5.0999999999999996</v>
      </c>
      <c r="N247" t="s">
        <v>29</v>
      </c>
      <c r="O247">
        <v>24</v>
      </c>
      <c r="P247">
        <v>50</v>
      </c>
      <c r="Q247">
        <v>25</v>
      </c>
      <c r="R247">
        <v>69</v>
      </c>
      <c r="S247">
        <v>0.9</v>
      </c>
    </row>
    <row r="248" spans="1:19" x14ac:dyDescent="0.25">
      <c r="A248">
        <v>1010</v>
      </c>
      <c r="B248">
        <v>10</v>
      </c>
      <c r="C248" t="s">
        <v>36</v>
      </c>
      <c r="D248">
        <v>5.91</v>
      </c>
      <c r="E248">
        <v>1.0999999999999999E-2</v>
      </c>
      <c r="F248">
        <v>350</v>
      </c>
      <c r="G248">
        <v>150</v>
      </c>
      <c r="H248" t="str">
        <f t="shared" si="39"/>
        <v>砂土</v>
      </c>
      <c r="I248" t="s">
        <v>22</v>
      </c>
      <c r="J248" t="s">
        <v>22</v>
      </c>
      <c r="K248" t="s">
        <v>22</v>
      </c>
      <c r="L248" t="s">
        <v>22</v>
      </c>
      <c r="M248">
        <v>5.0999999999999996</v>
      </c>
      <c r="N248" t="s">
        <v>32</v>
      </c>
      <c r="O248">
        <v>24</v>
      </c>
      <c r="P248">
        <v>50</v>
      </c>
      <c r="Q248">
        <v>25</v>
      </c>
      <c r="R248">
        <v>69</v>
      </c>
      <c r="S248">
        <v>0.5</v>
      </c>
    </row>
    <row r="249" spans="1:19" x14ac:dyDescent="0.25">
      <c r="A249">
        <v>1010</v>
      </c>
      <c r="B249">
        <v>10</v>
      </c>
      <c r="C249" t="s">
        <v>40</v>
      </c>
      <c r="D249">
        <v>6.04</v>
      </c>
      <c r="E249">
        <v>3.8E-3</v>
      </c>
      <c r="F249">
        <v>495</v>
      </c>
      <c r="G249">
        <v>179</v>
      </c>
      <c r="H249" t="str">
        <f t="shared" si="39"/>
        <v>砂土</v>
      </c>
      <c r="I249" t="s">
        <v>22</v>
      </c>
      <c r="J249" t="s">
        <v>22</v>
      </c>
      <c r="K249" t="s">
        <v>22</v>
      </c>
      <c r="L249" t="s">
        <v>22</v>
      </c>
      <c r="M249">
        <v>5.0999999999999996</v>
      </c>
      <c r="N249" t="s">
        <v>38</v>
      </c>
      <c r="O249">
        <v>24</v>
      </c>
      <c r="P249">
        <v>50</v>
      </c>
      <c r="Q249">
        <v>25</v>
      </c>
      <c r="R249">
        <v>69</v>
      </c>
      <c r="S249">
        <v>0.62</v>
      </c>
    </row>
    <row r="250" spans="1:19" x14ac:dyDescent="0.25">
      <c r="A250">
        <v>1010</v>
      </c>
      <c r="B250">
        <v>10</v>
      </c>
      <c r="C250" t="s">
        <v>41</v>
      </c>
      <c r="D250">
        <v>6.75</v>
      </c>
      <c r="E250">
        <v>2.9999999999999997E-4</v>
      </c>
      <c r="F250">
        <v>524</v>
      </c>
      <c r="G250">
        <v>262</v>
      </c>
      <c r="H250" t="str">
        <f t="shared" si="39"/>
        <v>砂土</v>
      </c>
      <c r="I250" t="s">
        <v>22</v>
      </c>
      <c r="J250" t="s">
        <v>22</v>
      </c>
      <c r="K250" t="s">
        <v>22</v>
      </c>
      <c r="L250" t="s">
        <v>22</v>
      </c>
      <c r="M250">
        <v>5.0999999999999996</v>
      </c>
      <c r="N250" t="s">
        <v>43</v>
      </c>
      <c r="O250">
        <v>24</v>
      </c>
      <c r="P250">
        <v>50</v>
      </c>
      <c r="Q250">
        <v>25</v>
      </c>
      <c r="R250">
        <v>69</v>
      </c>
      <c r="S250">
        <v>0.64</v>
      </c>
    </row>
    <row r="251" spans="1:19" x14ac:dyDescent="0.25">
      <c r="A251">
        <v>1010</v>
      </c>
      <c r="B251">
        <v>11</v>
      </c>
      <c r="C251" t="s">
        <v>30</v>
      </c>
      <c r="D251">
        <v>4.88</v>
      </c>
      <c r="E251">
        <v>7.2999999999999995E-2</v>
      </c>
      <c r="F251">
        <v>340</v>
      </c>
      <c r="G251">
        <v>216</v>
      </c>
      <c r="H251" t="str">
        <f t="shared" si="39"/>
        <v>砂土</v>
      </c>
      <c r="I251" t="s">
        <v>22</v>
      </c>
      <c r="J251" t="s">
        <v>22</v>
      </c>
      <c r="K251" t="s">
        <v>22</v>
      </c>
      <c r="L251" t="s">
        <v>22</v>
      </c>
      <c r="M251">
        <v>5.0999999999999996</v>
      </c>
      <c r="N251" t="s">
        <v>29</v>
      </c>
      <c r="O251">
        <v>24</v>
      </c>
      <c r="P251">
        <v>50</v>
      </c>
      <c r="Q251">
        <v>25</v>
      </c>
      <c r="R251">
        <v>69</v>
      </c>
      <c r="S251">
        <v>0.96</v>
      </c>
    </row>
    <row r="252" spans="1:19" x14ac:dyDescent="0.25">
      <c r="A252">
        <v>1010</v>
      </c>
      <c r="B252">
        <v>11</v>
      </c>
      <c r="C252" t="s">
        <v>36</v>
      </c>
      <c r="D252">
        <v>5.91</v>
      </c>
      <c r="E252">
        <v>1.0999999999999999E-2</v>
      </c>
      <c r="F252">
        <v>350</v>
      </c>
      <c r="G252">
        <v>150</v>
      </c>
      <c r="H252" t="str">
        <f t="shared" si="39"/>
        <v>砂土</v>
      </c>
      <c r="I252" t="s">
        <v>22</v>
      </c>
      <c r="J252" t="s">
        <v>22</v>
      </c>
      <c r="K252" t="s">
        <v>22</v>
      </c>
      <c r="L252" t="s">
        <v>22</v>
      </c>
      <c r="M252">
        <v>5.0999999999999996</v>
      </c>
      <c r="N252" t="s">
        <v>32</v>
      </c>
      <c r="O252">
        <v>24</v>
      </c>
      <c r="P252">
        <v>50</v>
      </c>
      <c r="Q252">
        <v>25</v>
      </c>
      <c r="R252">
        <v>69</v>
      </c>
      <c r="S252">
        <v>0.62</v>
      </c>
    </row>
    <row r="253" spans="1:19" x14ac:dyDescent="0.25">
      <c r="A253">
        <v>1010</v>
      </c>
      <c r="B253">
        <v>11</v>
      </c>
      <c r="C253" t="s">
        <v>40</v>
      </c>
      <c r="D253">
        <v>6.04</v>
      </c>
      <c r="E253">
        <v>3.8E-3</v>
      </c>
      <c r="F253">
        <v>495</v>
      </c>
      <c r="G253">
        <v>179</v>
      </c>
      <c r="H253" t="str">
        <f t="shared" si="39"/>
        <v>砂土</v>
      </c>
      <c r="I253" t="s">
        <v>22</v>
      </c>
      <c r="J253" t="s">
        <v>22</v>
      </c>
      <c r="K253" t="s">
        <v>22</v>
      </c>
      <c r="L253" t="s">
        <v>22</v>
      </c>
      <c r="M253">
        <v>5.0999999999999996</v>
      </c>
      <c r="N253" t="s">
        <v>38</v>
      </c>
      <c r="O253">
        <v>24</v>
      </c>
      <c r="P253">
        <v>50</v>
      </c>
      <c r="Q253">
        <v>25</v>
      </c>
      <c r="R253">
        <v>69</v>
      </c>
      <c r="S253">
        <v>0.71</v>
      </c>
    </row>
    <row r="254" spans="1:19" x14ac:dyDescent="0.25">
      <c r="A254">
        <v>1010</v>
      </c>
      <c r="B254">
        <v>11</v>
      </c>
      <c r="C254" t="s">
        <v>41</v>
      </c>
      <c r="D254">
        <v>6.75</v>
      </c>
      <c r="E254">
        <v>2.9999999999999997E-4</v>
      </c>
      <c r="F254">
        <v>524</v>
      </c>
      <c r="G254">
        <v>262</v>
      </c>
      <c r="H254" t="str">
        <f t="shared" si="39"/>
        <v>砂土</v>
      </c>
      <c r="I254" t="s">
        <v>22</v>
      </c>
      <c r="J254" t="s">
        <v>22</v>
      </c>
      <c r="K254" t="s">
        <v>22</v>
      </c>
      <c r="L254" t="s">
        <v>22</v>
      </c>
      <c r="M254">
        <v>5.0999999999999996</v>
      </c>
      <c r="N254" t="s">
        <v>43</v>
      </c>
      <c r="O254">
        <v>24</v>
      </c>
      <c r="P254">
        <v>50</v>
      </c>
      <c r="Q254">
        <v>25</v>
      </c>
      <c r="R254">
        <v>69</v>
      </c>
      <c r="S254">
        <v>0.75</v>
      </c>
    </row>
    <row r="255" spans="1:19" x14ac:dyDescent="0.25">
      <c r="A255">
        <v>1011</v>
      </c>
      <c r="B255">
        <v>1</v>
      </c>
      <c r="C255" t="s">
        <v>19</v>
      </c>
      <c r="D255">
        <v>4.95</v>
      </c>
      <c r="E255">
        <v>31.7</v>
      </c>
      <c r="F255">
        <v>170</v>
      </c>
      <c r="G255">
        <v>387.6</v>
      </c>
      <c r="H255" t="s">
        <v>20</v>
      </c>
      <c r="I255" t="s">
        <v>22</v>
      </c>
      <c r="J255" t="s">
        <v>22</v>
      </c>
      <c r="K255" t="s">
        <v>22</v>
      </c>
      <c r="L255" t="s">
        <v>22</v>
      </c>
      <c r="M255" t="s">
        <v>22</v>
      </c>
      <c r="N255" t="s">
        <v>21</v>
      </c>
      <c r="O255" t="s">
        <v>22</v>
      </c>
      <c r="P255">
        <v>0.99299999999999999</v>
      </c>
      <c r="Q255" t="s">
        <v>22</v>
      </c>
      <c r="R255">
        <v>90</v>
      </c>
      <c r="S255">
        <v>0.77539999999999998</v>
      </c>
    </row>
    <row r="256" spans="1:19" x14ac:dyDescent="0.25">
      <c r="A256">
        <v>1011</v>
      </c>
      <c r="B256">
        <v>1</v>
      </c>
      <c r="C256" t="s">
        <v>19</v>
      </c>
      <c r="D256">
        <v>4.95</v>
      </c>
      <c r="E256">
        <v>31.7</v>
      </c>
      <c r="F256">
        <f>F255</f>
        <v>170</v>
      </c>
      <c r="G256">
        <f t="shared" ref="G256:G267" si="40">G255</f>
        <v>387.6</v>
      </c>
      <c r="H256" t="str">
        <f>H255</f>
        <v>壤土</v>
      </c>
      <c r="I256" t="s">
        <v>22</v>
      </c>
      <c r="J256" t="s">
        <v>22</v>
      </c>
      <c r="K256" t="s">
        <v>22</v>
      </c>
      <c r="L256" t="s">
        <v>22</v>
      </c>
      <c r="M256" t="s">
        <v>22</v>
      </c>
      <c r="N256" t="s">
        <v>21</v>
      </c>
      <c r="O256" t="s">
        <v>22</v>
      </c>
      <c r="P256">
        <v>0.99299999999999999</v>
      </c>
      <c r="Q256" t="s">
        <v>22</v>
      </c>
      <c r="R256">
        <v>90</v>
      </c>
      <c r="S256">
        <v>0.82069999999999999</v>
      </c>
    </row>
    <row r="257" spans="1:19" x14ac:dyDescent="0.25">
      <c r="A257">
        <v>1011</v>
      </c>
      <c r="B257">
        <v>2</v>
      </c>
      <c r="C257" t="s">
        <v>19</v>
      </c>
      <c r="D257">
        <v>4.95</v>
      </c>
      <c r="E257">
        <v>31.7</v>
      </c>
      <c r="F257">
        <f t="shared" ref="F257:F274" si="41">F256</f>
        <v>170</v>
      </c>
      <c r="G257">
        <f t="shared" si="40"/>
        <v>387.6</v>
      </c>
      <c r="H257" t="str">
        <f t="shared" ref="H257:H274" si="42">H256</f>
        <v>壤土</v>
      </c>
      <c r="I257" t="s">
        <v>22</v>
      </c>
      <c r="J257" t="s">
        <v>22</v>
      </c>
      <c r="K257" t="s">
        <v>22</v>
      </c>
      <c r="L257" t="s">
        <v>22</v>
      </c>
      <c r="M257" t="s">
        <v>22</v>
      </c>
      <c r="N257" t="s">
        <v>21</v>
      </c>
      <c r="O257" t="s">
        <v>22</v>
      </c>
      <c r="P257">
        <v>3.0430000000000001</v>
      </c>
      <c r="Q257" t="s">
        <v>22</v>
      </c>
      <c r="R257">
        <v>90</v>
      </c>
      <c r="S257">
        <v>0.91290000000000004</v>
      </c>
    </row>
    <row r="258" spans="1:19" x14ac:dyDescent="0.25">
      <c r="A258">
        <v>1011</v>
      </c>
      <c r="B258">
        <v>2</v>
      </c>
      <c r="C258" t="s">
        <v>19</v>
      </c>
      <c r="D258">
        <v>4.95</v>
      </c>
      <c r="E258">
        <v>31.7</v>
      </c>
      <c r="F258">
        <f t="shared" si="41"/>
        <v>170</v>
      </c>
      <c r="G258">
        <f t="shared" si="40"/>
        <v>387.6</v>
      </c>
      <c r="H258" t="str">
        <f t="shared" si="42"/>
        <v>壤土</v>
      </c>
      <c r="I258" t="s">
        <v>22</v>
      </c>
      <c r="J258" t="s">
        <v>22</v>
      </c>
      <c r="K258" t="s">
        <v>22</v>
      </c>
      <c r="L258" t="s">
        <v>22</v>
      </c>
      <c r="M258" t="s">
        <v>22</v>
      </c>
      <c r="N258" t="s">
        <v>21</v>
      </c>
      <c r="O258" t="s">
        <v>22</v>
      </c>
      <c r="P258">
        <v>3.0430000000000001</v>
      </c>
      <c r="Q258" t="s">
        <v>22</v>
      </c>
      <c r="R258">
        <v>90</v>
      </c>
      <c r="S258">
        <v>0.90269999999999995</v>
      </c>
    </row>
    <row r="259" spans="1:19" x14ac:dyDescent="0.25">
      <c r="A259">
        <v>1011</v>
      </c>
      <c r="B259">
        <v>2</v>
      </c>
      <c r="C259" t="s">
        <v>19</v>
      </c>
      <c r="D259">
        <v>4.95</v>
      </c>
      <c r="E259">
        <v>31.7</v>
      </c>
      <c r="F259">
        <f t="shared" si="41"/>
        <v>170</v>
      </c>
      <c r="G259">
        <f t="shared" si="40"/>
        <v>387.6</v>
      </c>
      <c r="H259" t="str">
        <f t="shared" si="42"/>
        <v>壤土</v>
      </c>
      <c r="I259" t="s">
        <v>22</v>
      </c>
      <c r="J259" t="s">
        <v>22</v>
      </c>
      <c r="K259" t="s">
        <v>22</v>
      </c>
      <c r="L259" t="s">
        <v>22</v>
      </c>
      <c r="M259" t="s">
        <v>22</v>
      </c>
      <c r="N259" t="s">
        <v>21</v>
      </c>
      <c r="O259" t="s">
        <v>22</v>
      </c>
      <c r="P259">
        <v>3.0430000000000001</v>
      </c>
      <c r="Q259" t="s">
        <v>22</v>
      </c>
      <c r="R259">
        <v>90</v>
      </c>
      <c r="S259">
        <v>0.91820000000000002</v>
      </c>
    </row>
    <row r="260" spans="1:19" x14ac:dyDescent="0.25">
      <c r="A260">
        <v>1011</v>
      </c>
      <c r="B260">
        <v>2</v>
      </c>
      <c r="C260" t="s">
        <v>19</v>
      </c>
      <c r="D260">
        <v>4.95</v>
      </c>
      <c r="E260">
        <v>31.7</v>
      </c>
      <c r="F260">
        <f t="shared" si="41"/>
        <v>170</v>
      </c>
      <c r="G260">
        <f t="shared" si="40"/>
        <v>387.6</v>
      </c>
      <c r="H260" t="str">
        <f t="shared" si="42"/>
        <v>壤土</v>
      </c>
      <c r="I260" t="s">
        <v>22</v>
      </c>
      <c r="J260" t="s">
        <v>22</v>
      </c>
      <c r="K260" t="s">
        <v>22</v>
      </c>
      <c r="L260" t="s">
        <v>22</v>
      </c>
      <c r="M260" t="s">
        <v>22</v>
      </c>
      <c r="N260" t="s">
        <v>21</v>
      </c>
      <c r="O260" t="s">
        <v>22</v>
      </c>
      <c r="P260">
        <v>3.0430000000000001</v>
      </c>
      <c r="Q260" t="s">
        <v>22</v>
      </c>
      <c r="R260">
        <v>90</v>
      </c>
      <c r="S260">
        <v>0.91979999999999995</v>
      </c>
    </row>
    <row r="261" spans="1:19" x14ac:dyDescent="0.25">
      <c r="A261">
        <v>1011</v>
      </c>
      <c r="B261">
        <v>2</v>
      </c>
      <c r="C261" t="s">
        <v>19</v>
      </c>
      <c r="D261">
        <v>4.95</v>
      </c>
      <c r="E261">
        <v>31.7</v>
      </c>
      <c r="F261">
        <f t="shared" si="41"/>
        <v>170</v>
      </c>
      <c r="G261">
        <f t="shared" si="40"/>
        <v>387.6</v>
      </c>
      <c r="H261" t="str">
        <f t="shared" si="42"/>
        <v>壤土</v>
      </c>
      <c r="I261" t="s">
        <v>22</v>
      </c>
      <c r="J261" t="s">
        <v>22</v>
      </c>
      <c r="K261" t="s">
        <v>22</v>
      </c>
      <c r="L261" t="s">
        <v>22</v>
      </c>
      <c r="M261" t="s">
        <v>22</v>
      </c>
      <c r="N261" t="s">
        <v>21</v>
      </c>
      <c r="O261" t="s">
        <v>22</v>
      </c>
      <c r="P261">
        <v>3.0430000000000001</v>
      </c>
      <c r="Q261" t="s">
        <v>22</v>
      </c>
      <c r="R261">
        <v>90</v>
      </c>
      <c r="S261">
        <v>0.91320000000000001</v>
      </c>
    </row>
    <row r="262" spans="1:19" x14ac:dyDescent="0.25">
      <c r="A262">
        <v>1011</v>
      </c>
      <c r="B262">
        <v>2</v>
      </c>
      <c r="C262" t="s">
        <v>19</v>
      </c>
      <c r="D262">
        <v>4.95</v>
      </c>
      <c r="E262">
        <v>31.7</v>
      </c>
      <c r="F262">
        <f t="shared" si="41"/>
        <v>170</v>
      </c>
      <c r="G262">
        <f t="shared" si="40"/>
        <v>387.6</v>
      </c>
      <c r="H262" t="str">
        <f t="shared" si="42"/>
        <v>壤土</v>
      </c>
      <c r="I262" t="s">
        <v>22</v>
      </c>
      <c r="J262" t="s">
        <v>22</v>
      </c>
      <c r="K262" t="s">
        <v>22</v>
      </c>
      <c r="L262" t="s">
        <v>22</v>
      </c>
      <c r="M262" t="s">
        <v>22</v>
      </c>
      <c r="N262" t="s">
        <v>21</v>
      </c>
      <c r="O262" t="s">
        <v>22</v>
      </c>
      <c r="P262">
        <v>3.0430000000000001</v>
      </c>
      <c r="Q262" t="s">
        <v>22</v>
      </c>
      <c r="R262">
        <v>90</v>
      </c>
      <c r="S262">
        <v>0.87709999999999999</v>
      </c>
    </row>
    <row r="263" spans="1:19" x14ac:dyDescent="0.25">
      <c r="A263">
        <v>1011</v>
      </c>
      <c r="B263">
        <v>3</v>
      </c>
      <c r="C263" t="s">
        <v>19</v>
      </c>
      <c r="D263">
        <v>4.95</v>
      </c>
      <c r="E263">
        <v>31.7</v>
      </c>
      <c r="F263">
        <f t="shared" si="41"/>
        <v>170</v>
      </c>
      <c r="G263">
        <f t="shared" si="40"/>
        <v>387.6</v>
      </c>
      <c r="H263" t="str">
        <f t="shared" si="42"/>
        <v>壤土</v>
      </c>
      <c r="I263" t="s">
        <v>22</v>
      </c>
      <c r="J263" t="s">
        <v>22</v>
      </c>
      <c r="K263" t="s">
        <v>22</v>
      </c>
      <c r="L263" t="s">
        <v>22</v>
      </c>
      <c r="M263" t="s">
        <v>22</v>
      </c>
      <c r="N263" t="s">
        <v>21</v>
      </c>
      <c r="O263" t="s">
        <v>22</v>
      </c>
      <c r="P263">
        <v>3.9950000000000001</v>
      </c>
      <c r="Q263" t="s">
        <v>22</v>
      </c>
      <c r="R263">
        <v>90</v>
      </c>
      <c r="S263">
        <v>0.95720000000000005</v>
      </c>
    </row>
    <row r="264" spans="1:19" x14ac:dyDescent="0.25">
      <c r="A264">
        <v>1011</v>
      </c>
      <c r="B264">
        <v>3</v>
      </c>
      <c r="C264" t="s">
        <v>19</v>
      </c>
      <c r="D264">
        <v>4.95</v>
      </c>
      <c r="E264">
        <v>31.7</v>
      </c>
      <c r="F264">
        <f t="shared" si="41"/>
        <v>170</v>
      </c>
      <c r="G264">
        <f t="shared" si="40"/>
        <v>387.6</v>
      </c>
      <c r="H264" t="str">
        <f t="shared" si="42"/>
        <v>壤土</v>
      </c>
      <c r="I264" t="s">
        <v>22</v>
      </c>
      <c r="J264" t="s">
        <v>22</v>
      </c>
      <c r="K264" t="s">
        <v>22</v>
      </c>
      <c r="L264" t="s">
        <v>22</v>
      </c>
      <c r="M264" t="s">
        <v>22</v>
      </c>
      <c r="N264" t="s">
        <v>21</v>
      </c>
      <c r="O264" t="s">
        <v>22</v>
      </c>
      <c r="P264">
        <v>3.9950000000000001</v>
      </c>
      <c r="Q264" t="s">
        <v>22</v>
      </c>
      <c r="R264">
        <v>90</v>
      </c>
      <c r="S264">
        <v>0.95289999999999997</v>
      </c>
    </row>
    <row r="265" spans="1:19" x14ac:dyDescent="0.25">
      <c r="A265">
        <v>1011</v>
      </c>
      <c r="B265">
        <v>3</v>
      </c>
      <c r="C265" t="s">
        <v>19</v>
      </c>
      <c r="D265">
        <v>4.95</v>
      </c>
      <c r="E265">
        <v>31.7</v>
      </c>
      <c r="F265">
        <f t="shared" si="41"/>
        <v>170</v>
      </c>
      <c r="G265">
        <f t="shared" si="40"/>
        <v>387.6</v>
      </c>
      <c r="H265" t="str">
        <f t="shared" si="42"/>
        <v>壤土</v>
      </c>
      <c r="I265" t="s">
        <v>22</v>
      </c>
      <c r="J265" t="s">
        <v>22</v>
      </c>
      <c r="K265" t="s">
        <v>22</v>
      </c>
      <c r="L265" t="s">
        <v>22</v>
      </c>
      <c r="M265" t="s">
        <v>22</v>
      </c>
      <c r="N265" t="s">
        <v>21</v>
      </c>
      <c r="O265" t="s">
        <v>22</v>
      </c>
      <c r="P265">
        <v>3.9950000000000001</v>
      </c>
      <c r="Q265" t="s">
        <v>22</v>
      </c>
      <c r="R265">
        <v>90</v>
      </c>
      <c r="S265">
        <v>0.94669999999999999</v>
      </c>
    </row>
    <row r="266" spans="1:19" x14ac:dyDescent="0.25">
      <c r="A266">
        <v>1011</v>
      </c>
      <c r="B266">
        <v>3</v>
      </c>
      <c r="C266" t="s">
        <v>19</v>
      </c>
      <c r="D266">
        <v>4.95</v>
      </c>
      <c r="E266">
        <v>31.7</v>
      </c>
      <c r="F266">
        <f t="shared" si="41"/>
        <v>170</v>
      </c>
      <c r="G266">
        <f t="shared" si="40"/>
        <v>387.6</v>
      </c>
      <c r="H266" t="str">
        <f t="shared" si="42"/>
        <v>壤土</v>
      </c>
      <c r="I266" t="s">
        <v>22</v>
      </c>
      <c r="J266" t="s">
        <v>22</v>
      </c>
      <c r="K266" t="s">
        <v>22</v>
      </c>
      <c r="L266" t="s">
        <v>22</v>
      </c>
      <c r="M266" t="s">
        <v>22</v>
      </c>
      <c r="N266" t="s">
        <v>21</v>
      </c>
      <c r="O266" t="s">
        <v>22</v>
      </c>
      <c r="P266">
        <v>3.9950000000000001</v>
      </c>
      <c r="Q266" t="s">
        <v>22</v>
      </c>
      <c r="R266">
        <v>90</v>
      </c>
      <c r="S266">
        <v>0.95289999999999997</v>
      </c>
    </row>
    <row r="267" spans="1:19" x14ac:dyDescent="0.25">
      <c r="A267">
        <v>1011</v>
      </c>
      <c r="B267">
        <v>3</v>
      </c>
      <c r="C267" t="s">
        <v>19</v>
      </c>
      <c r="D267">
        <v>4.95</v>
      </c>
      <c r="E267">
        <v>31.7</v>
      </c>
      <c r="F267">
        <f t="shared" si="41"/>
        <v>170</v>
      </c>
      <c r="G267">
        <f t="shared" si="40"/>
        <v>387.6</v>
      </c>
      <c r="H267" t="str">
        <f t="shared" si="42"/>
        <v>壤土</v>
      </c>
      <c r="I267" t="s">
        <v>22</v>
      </c>
      <c r="J267" t="s">
        <v>22</v>
      </c>
      <c r="K267" t="s">
        <v>22</v>
      </c>
      <c r="L267" t="s">
        <v>22</v>
      </c>
      <c r="M267" t="s">
        <v>22</v>
      </c>
      <c r="N267" t="s">
        <v>21</v>
      </c>
      <c r="O267" t="s">
        <v>22</v>
      </c>
      <c r="P267">
        <v>3.9950000000000001</v>
      </c>
      <c r="Q267" t="s">
        <v>22</v>
      </c>
      <c r="R267">
        <v>90</v>
      </c>
      <c r="S267">
        <v>0.96299999999999997</v>
      </c>
    </row>
    <row r="268" spans="1:19" x14ac:dyDescent="0.25">
      <c r="A268">
        <v>1011</v>
      </c>
      <c r="B268">
        <v>3</v>
      </c>
      <c r="C268" t="s">
        <v>19</v>
      </c>
      <c r="D268">
        <v>4.95</v>
      </c>
      <c r="E268">
        <v>31.7</v>
      </c>
      <c r="F268">
        <f t="shared" si="41"/>
        <v>170</v>
      </c>
      <c r="G268">
        <f t="shared" ref="G268:G274" si="43">G267</f>
        <v>387.6</v>
      </c>
      <c r="H268" t="str">
        <f t="shared" si="42"/>
        <v>壤土</v>
      </c>
      <c r="I268" t="s">
        <v>22</v>
      </c>
      <c r="J268" t="s">
        <v>22</v>
      </c>
      <c r="K268" t="s">
        <v>22</v>
      </c>
      <c r="L268" t="s">
        <v>22</v>
      </c>
      <c r="M268" t="s">
        <v>22</v>
      </c>
      <c r="N268" t="s">
        <v>21</v>
      </c>
      <c r="O268" t="s">
        <v>22</v>
      </c>
      <c r="P268">
        <v>3.9950000000000001</v>
      </c>
      <c r="Q268" t="s">
        <v>22</v>
      </c>
      <c r="R268">
        <v>90</v>
      </c>
      <c r="S268">
        <v>0.9647</v>
      </c>
    </row>
    <row r="269" spans="1:19" x14ac:dyDescent="0.25">
      <c r="A269">
        <v>1011</v>
      </c>
      <c r="B269">
        <v>4</v>
      </c>
      <c r="C269" t="s">
        <v>19</v>
      </c>
      <c r="D269">
        <v>4.95</v>
      </c>
      <c r="E269">
        <v>31.7</v>
      </c>
      <c r="F269">
        <f t="shared" si="41"/>
        <v>170</v>
      </c>
      <c r="G269">
        <f t="shared" si="43"/>
        <v>387.6</v>
      </c>
      <c r="H269" t="str">
        <f t="shared" si="42"/>
        <v>壤土</v>
      </c>
      <c r="I269" t="s">
        <v>22</v>
      </c>
      <c r="J269" t="s">
        <v>22</v>
      </c>
      <c r="K269" t="s">
        <v>22</v>
      </c>
      <c r="L269" t="s">
        <v>22</v>
      </c>
      <c r="M269" t="s">
        <v>22</v>
      </c>
      <c r="N269" t="s">
        <v>21</v>
      </c>
      <c r="O269" t="s">
        <v>22</v>
      </c>
      <c r="P269">
        <v>0.99399999999999999</v>
      </c>
      <c r="Q269" t="s">
        <v>22</v>
      </c>
      <c r="R269">
        <v>90</v>
      </c>
      <c r="S269">
        <v>0.82089999999999996</v>
      </c>
    </row>
    <row r="270" spans="1:19" x14ac:dyDescent="0.25">
      <c r="A270">
        <v>1011</v>
      </c>
      <c r="B270">
        <v>4</v>
      </c>
      <c r="C270" t="s">
        <v>19</v>
      </c>
      <c r="D270">
        <v>4.95</v>
      </c>
      <c r="E270">
        <v>31.7</v>
      </c>
      <c r="F270">
        <f t="shared" si="41"/>
        <v>170</v>
      </c>
      <c r="G270">
        <f t="shared" si="43"/>
        <v>387.6</v>
      </c>
      <c r="H270" t="str">
        <f t="shared" si="42"/>
        <v>壤土</v>
      </c>
      <c r="I270" t="s">
        <v>22</v>
      </c>
      <c r="J270" t="s">
        <v>22</v>
      </c>
      <c r="K270" t="s">
        <v>22</v>
      </c>
      <c r="L270" t="s">
        <v>22</v>
      </c>
      <c r="M270" t="s">
        <v>22</v>
      </c>
      <c r="N270" t="s">
        <v>21</v>
      </c>
      <c r="O270" t="s">
        <v>22</v>
      </c>
      <c r="P270">
        <v>0.99399999999999999</v>
      </c>
      <c r="Q270" t="s">
        <v>22</v>
      </c>
      <c r="R270">
        <v>90</v>
      </c>
      <c r="S270">
        <v>0.82599999999999996</v>
      </c>
    </row>
    <row r="271" spans="1:19" x14ac:dyDescent="0.25">
      <c r="A271">
        <v>1011</v>
      </c>
      <c r="B271">
        <v>4</v>
      </c>
      <c r="C271" t="s">
        <v>19</v>
      </c>
      <c r="D271">
        <v>4.95</v>
      </c>
      <c r="E271">
        <v>31.7</v>
      </c>
      <c r="F271">
        <f t="shared" si="41"/>
        <v>170</v>
      </c>
      <c r="G271">
        <f t="shared" si="43"/>
        <v>387.6</v>
      </c>
      <c r="H271" t="str">
        <f t="shared" si="42"/>
        <v>壤土</v>
      </c>
      <c r="I271" t="s">
        <v>22</v>
      </c>
      <c r="J271" t="s">
        <v>22</v>
      </c>
      <c r="K271" t="s">
        <v>22</v>
      </c>
      <c r="L271" t="s">
        <v>22</v>
      </c>
      <c r="M271" t="s">
        <v>22</v>
      </c>
      <c r="N271" t="s">
        <v>21</v>
      </c>
      <c r="O271" t="s">
        <v>22</v>
      </c>
      <c r="P271">
        <v>0.99399999999999999</v>
      </c>
      <c r="Q271" t="s">
        <v>22</v>
      </c>
      <c r="R271">
        <v>90</v>
      </c>
      <c r="S271">
        <v>0.84809999999999997</v>
      </c>
    </row>
    <row r="272" spans="1:19" x14ac:dyDescent="0.25">
      <c r="A272">
        <v>1011</v>
      </c>
      <c r="B272">
        <v>4</v>
      </c>
      <c r="C272" t="s">
        <v>19</v>
      </c>
      <c r="D272">
        <v>4.95</v>
      </c>
      <c r="E272">
        <v>31.7</v>
      </c>
      <c r="F272">
        <f t="shared" si="41"/>
        <v>170</v>
      </c>
      <c r="G272">
        <f t="shared" si="43"/>
        <v>387.6</v>
      </c>
      <c r="H272" t="str">
        <f t="shared" si="42"/>
        <v>壤土</v>
      </c>
      <c r="I272" t="s">
        <v>22</v>
      </c>
      <c r="J272" t="s">
        <v>22</v>
      </c>
      <c r="K272" t="s">
        <v>22</v>
      </c>
      <c r="L272" t="s">
        <v>22</v>
      </c>
      <c r="M272" t="s">
        <v>22</v>
      </c>
      <c r="N272" t="s">
        <v>21</v>
      </c>
      <c r="O272" t="s">
        <v>22</v>
      </c>
      <c r="P272">
        <v>0.99399999999999999</v>
      </c>
      <c r="Q272" t="s">
        <v>22</v>
      </c>
      <c r="R272">
        <v>90</v>
      </c>
      <c r="S272">
        <v>0.83099999999999996</v>
      </c>
    </row>
    <row r="273" spans="1:19" x14ac:dyDescent="0.25">
      <c r="A273">
        <v>1011</v>
      </c>
      <c r="B273">
        <v>4</v>
      </c>
      <c r="C273" t="s">
        <v>19</v>
      </c>
      <c r="D273">
        <v>4.95</v>
      </c>
      <c r="E273">
        <v>31.7</v>
      </c>
      <c r="F273">
        <f t="shared" si="41"/>
        <v>170</v>
      </c>
      <c r="G273">
        <f t="shared" si="43"/>
        <v>387.6</v>
      </c>
      <c r="H273" t="str">
        <f t="shared" si="42"/>
        <v>壤土</v>
      </c>
      <c r="I273" t="s">
        <v>22</v>
      </c>
      <c r="J273" t="s">
        <v>22</v>
      </c>
      <c r="K273" t="s">
        <v>22</v>
      </c>
      <c r="L273" t="s">
        <v>22</v>
      </c>
      <c r="M273" t="s">
        <v>22</v>
      </c>
      <c r="N273" t="s">
        <v>21</v>
      </c>
      <c r="O273" t="s">
        <v>22</v>
      </c>
      <c r="P273">
        <v>0.99399999999999999</v>
      </c>
      <c r="Q273" t="s">
        <v>22</v>
      </c>
      <c r="R273">
        <v>90</v>
      </c>
      <c r="S273">
        <v>0.81889999999999996</v>
      </c>
    </row>
    <row r="274" spans="1:19" x14ac:dyDescent="0.25">
      <c r="A274">
        <v>1011</v>
      </c>
      <c r="B274">
        <v>4</v>
      </c>
      <c r="C274" t="s">
        <v>19</v>
      </c>
      <c r="D274">
        <v>4.95</v>
      </c>
      <c r="E274">
        <v>31.7</v>
      </c>
      <c r="F274">
        <f t="shared" si="41"/>
        <v>170</v>
      </c>
      <c r="G274">
        <f t="shared" si="43"/>
        <v>387.6</v>
      </c>
      <c r="H274" t="str">
        <f t="shared" si="42"/>
        <v>壤土</v>
      </c>
      <c r="I274" t="s">
        <v>22</v>
      </c>
      <c r="J274" t="s">
        <v>22</v>
      </c>
      <c r="K274" t="s">
        <v>22</v>
      </c>
      <c r="L274" t="s">
        <v>22</v>
      </c>
      <c r="M274" t="s">
        <v>22</v>
      </c>
      <c r="N274" t="s">
        <v>21</v>
      </c>
      <c r="O274" t="s">
        <v>22</v>
      </c>
      <c r="P274">
        <v>0.99399999999999999</v>
      </c>
      <c r="Q274" t="s">
        <v>22</v>
      </c>
      <c r="R274">
        <v>90</v>
      </c>
      <c r="S274">
        <v>0.83099999999999996</v>
      </c>
    </row>
    <row r="275" spans="1:19" x14ac:dyDescent="0.25">
      <c r="A275">
        <v>1012</v>
      </c>
      <c r="B275">
        <v>1</v>
      </c>
      <c r="C275" t="s">
        <v>19</v>
      </c>
      <c r="D275">
        <v>4.95</v>
      </c>
      <c r="E275">
        <v>31.7</v>
      </c>
      <c r="F275">
        <v>171.19</v>
      </c>
      <c r="G275">
        <v>412.27</v>
      </c>
      <c r="H275" t="s">
        <v>20</v>
      </c>
      <c r="I275">
        <v>7300</v>
      </c>
      <c r="J275">
        <v>800</v>
      </c>
      <c r="K275" t="s">
        <v>22</v>
      </c>
      <c r="L275">
        <v>50</v>
      </c>
      <c r="M275">
        <v>7.5</v>
      </c>
      <c r="N275" t="s">
        <v>23</v>
      </c>
      <c r="O275">
        <v>1.6</v>
      </c>
      <c r="P275">
        <v>13000</v>
      </c>
      <c r="Q275">
        <v>20</v>
      </c>
      <c r="R275">
        <v>150</v>
      </c>
      <c r="S275">
        <v>0.20300000000000001</v>
      </c>
    </row>
    <row r="276" spans="1:19" x14ac:dyDescent="0.25">
      <c r="A276">
        <v>1012</v>
      </c>
      <c r="B276">
        <v>1</v>
      </c>
      <c r="C276" t="s">
        <v>19</v>
      </c>
      <c r="D276">
        <v>4.95</v>
      </c>
      <c r="E276">
        <v>31.7</v>
      </c>
      <c r="F276">
        <v>171.19</v>
      </c>
      <c r="G276">
        <v>412.27</v>
      </c>
      <c r="H276" t="s">
        <v>20</v>
      </c>
      <c r="I276">
        <v>7300</v>
      </c>
      <c r="J276">
        <v>800</v>
      </c>
      <c r="K276" t="s">
        <v>22</v>
      </c>
      <c r="L276">
        <v>50</v>
      </c>
      <c r="M276">
        <v>7.5</v>
      </c>
      <c r="N276" t="s">
        <v>23</v>
      </c>
      <c r="O276">
        <v>1.6</v>
      </c>
      <c r="P276">
        <v>13000</v>
      </c>
      <c r="Q276">
        <v>20</v>
      </c>
      <c r="R276">
        <v>150</v>
      </c>
      <c r="S276">
        <v>0.246</v>
      </c>
    </row>
    <row r="277" spans="1:19" x14ac:dyDescent="0.25">
      <c r="A277">
        <v>1012</v>
      </c>
      <c r="B277">
        <v>2</v>
      </c>
      <c r="C277" t="s">
        <v>19</v>
      </c>
      <c r="D277">
        <v>4.95</v>
      </c>
      <c r="E277">
        <v>31.7</v>
      </c>
      <c r="F277">
        <v>171.19</v>
      </c>
      <c r="G277">
        <v>412.27</v>
      </c>
      <c r="H277" t="s">
        <v>20</v>
      </c>
      <c r="I277">
        <v>7300</v>
      </c>
      <c r="J277">
        <v>800</v>
      </c>
      <c r="K277" t="s">
        <v>22</v>
      </c>
      <c r="L277">
        <v>50</v>
      </c>
      <c r="M277">
        <v>7.5</v>
      </c>
      <c r="N277" t="s">
        <v>23</v>
      </c>
      <c r="O277">
        <v>1.6</v>
      </c>
      <c r="P277">
        <v>13000</v>
      </c>
      <c r="Q277">
        <v>20</v>
      </c>
      <c r="R277">
        <v>150</v>
      </c>
      <c r="S277">
        <v>0.312</v>
      </c>
    </row>
    <row r="278" spans="1:19" x14ac:dyDescent="0.25">
      <c r="A278">
        <v>1012</v>
      </c>
      <c r="B278">
        <v>2</v>
      </c>
      <c r="C278" t="s">
        <v>19</v>
      </c>
      <c r="D278">
        <v>4.95</v>
      </c>
      <c r="E278">
        <v>31.7</v>
      </c>
      <c r="F278">
        <v>171.19</v>
      </c>
      <c r="G278">
        <v>412.27</v>
      </c>
      <c r="H278" t="s">
        <v>20</v>
      </c>
      <c r="I278">
        <v>7300</v>
      </c>
      <c r="J278">
        <v>800</v>
      </c>
      <c r="K278" t="s">
        <v>22</v>
      </c>
      <c r="L278">
        <v>50</v>
      </c>
      <c r="M278">
        <v>7.5</v>
      </c>
      <c r="N278" t="s">
        <v>23</v>
      </c>
      <c r="O278">
        <v>1.6</v>
      </c>
      <c r="P278">
        <v>13000</v>
      </c>
      <c r="Q278">
        <v>20</v>
      </c>
      <c r="R278">
        <v>150</v>
      </c>
      <c r="S278">
        <v>0.58199999999999996</v>
      </c>
    </row>
    <row r="279" spans="1:19" x14ac:dyDescent="0.25">
      <c r="A279">
        <v>1012</v>
      </c>
      <c r="B279">
        <v>3</v>
      </c>
      <c r="C279" t="s">
        <v>19</v>
      </c>
      <c r="D279">
        <v>4.95</v>
      </c>
      <c r="E279">
        <v>31.7</v>
      </c>
      <c r="F279">
        <v>171.19</v>
      </c>
      <c r="G279">
        <v>412.27</v>
      </c>
      <c r="H279" t="s">
        <v>20</v>
      </c>
      <c r="I279">
        <v>7300</v>
      </c>
      <c r="J279">
        <v>800</v>
      </c>
      <c r="K279" t="s">
        <v>22</v>
      </c>
      <c r="L279">
        <v>50</v>
      </c>
      <c r="M279">
        <v>7.5</v>
      </c>
      <c r="N279" t="s">
        <v>23</v>
      </c>
      <c r="O279">
        <v>1.6</v>
      </c>
      <c r="P279">
        <v>13000</v>
      </c>
      <c r="Q279">
        <v>20</v>
      </c>
      <c r="R279">
        <v>150</v>
      </c>
      <c r="S279">
        <v>0.27900000000000003</v>
      </c>
    </row>
    <row r="280" spans="1:19" x14ac:dyDescent="0.25">
      <c r="A280">
        <v>1012</v>
      </c>
      <c r="B280">
        <v>3</v>
      </c>
      <c r="C280" t="s">
        <v>19</v>
      </c>
      <c r="D280">
        <v>4.95</v>
      </c>
      <c r="E280">
        <v>31.7</v>
      </c>
      <c r="F280">
        <v>171.19</v>
      </c>
      <c r="G280">
        <v>412.27</v>
      </c>
      <c r="H280" t="s">
        <v>20</v>
      </c>
      <c r="I280">
        <v>7300</v>
      </c>
      <c r="J280">
        <v>800</v>
      </c>
      <c r="K280" t="s">
        <v>22</v>
      </c>
      <c r="L280">
        <v>50</v>
      </c>
      <c r="M280">
        <v>7.5</v>
      </c>
      <c r="N280" t="s">
        <v>23</v>
      </c>
      <c r="O280">
        <v>1.6</v>
      </c>
      <c r="P280">
        <v>13000</v>
      </c>
      <c r="Q280">
        <v>20</v>
      </c>
      <c r="R280">
        <v>150</v>
      </c>
      <c r="S280">
        <v>0.57799999999999996</v>
      </c>
    </row>
    <row r="281" spans="1:19" x14ac:dyDescent="0.25">
      <c r="A281">
        <v>1013</v>
      </c>
      <c r="B281">
        <v>1</v>
      </c>
      <c r="C281" t="s">
        <v>26</v>
      </c>
      <c r="D281">
        <v>3.3</v>
      </c>
      <c r="E281">
        <v>31.7</v>
      </c>
      <c r="F281">
        <v>218</v>
      </c>
      <c r="G281">
        <v>80.2</v>
      </c>
      <c r="H281" t="str">
        <f>H280</f>
        <v>壤土</v>
      </c>
      <c r="I281" t="s">
        <v>22</v>
      </c>
      <c r="J281" t="s">
        <v>22</v>
      </c>
      <c r="K281" t="s">
        <v>22</v>
      </c>
      <c r="L281" t="s">
        <v>22</v>
      </c>
      <c r="M281" t="s">
        <v>22</v>
      </c>
      <c r="N281" t="s">
        <v>27</v>
      </c>
      <c r="O281">
        <v>20</v>
      </c>
      <c r="P281">
        <v>200</v>
      </c>
      <c r="Q281">
        <v>23</v>
      </c>
      <c r="R281">
        <v>12</v>
      </c>
      <c r="S281">
        <v>0.78200000000000003</v>
      </c>
    </row>
    <row r="282" spans="1:19" x14ac:dyDescent="0.25">
      <c r="A282">
        <v>1013</v>
      </c>
      <c r="B282">
        <v>1</v>
      </c>
      <c r="C282" t="s">
        <v>26</v>
      </c>
      <c r="D282">
        <v>3.3</v>
      </c>
      <c r="E282">
        <v>31.7</v>
      </c>
      <c r="F282">
        <v>218</v>
      </c>
      <c r="G282">
        <v>80.2</v>
      </c>
      <c r="H282" t="str">
        <f t="shared" ref="H282:H313" si="44">H281</f>
        <v>壤土</v>
      </c>
      <c r="I282" t="s">
        <v>22</v>
      </c>
      <c r="J282" t="s">
        <v>22</v>
      </c>
      <c r="K282" t="s">
        <v>22</v>
      </c>
      <c r="L282" t="s">
        <v>22</v>
      </c>
      <c r="M282" t="s">
        <v>22</v>
      </c>
      <c r="N282" t="s">
        <v>27</v>
      </c>
      <c r="O282">
        <v>20</v>
      </c>
      <c r="P282">
        <v>200</v>
      </c>
      <c r="Q282">
        <v>23</v>
      </c>
      <c r="R282">
        <v>24</v>
      </c>
      <c r="S282">
        <v>0.83799999999999997</v>
      </c>
    </row>
    <row r="283" spans="1:19" x14ac:dyDescent="0.25">
      <c r="A283">
        <f>A282</f>
        <v>1013</v>
      </c>
      <c r="B283">
        <f>B282</f>
        <v>1</v>
      </c>
      <c r="C283" t="str">
        <f>C282</f>
        <v>萘</v>
      </c>
      <c r="D283">
        <f t="shared" ref="D283:D326" si="45">D282</f>
        <v>3.3</v>
      </c>
      <c r="E283">
        <f>E282</f>
        <v>31.7</v>
      </c>
      <c r="F283">
        <f>F282</f>
        <v>218</v>
      </c>
      <c r="G283">
        <f>G282</f>
        <v>80.2</v>
      </c>
      <c r="H283" t="str">
        <f t="shared" si="44"/>
        <v>壤土</v>
      </c>
      <c r="N283" t="s">
        <v>27</v>
      </c>
      <c r="O283">
        <v>20</v>
      </c>
      <c r="P283">
        <v>200</v>
      </c>
      <c r="Q283">
        <v>23</v>
      </c>
      <c r="R283">
        <v>36</v>
      </c>
      <c r="S283">
        <v>0.93500000000000005</v>
      </c>
    </row>
    <row r="284" spans="1:19" x14ac:dyDescent="0.25">
      <c r="A284">
        <f t="shared" ref="A284:A326" si="46">A283</f>
        <v>1013</v>
      </c>
      <c r="B284">
        <f t="shared" ref="B284:B326" si="47">B283</f>
        <v>1</v>
      </c>
      <c r="C284" t="str">
        <f t="shared" ref="C284:C326" si="48">C283</f>
        <v>萘</v>
      </c>
      <c r="D284">
        <f t="shared" si="45"/>
        <v>3.3</v>
      </c>
      <c r="E284">
        <f t="shared" ref="E284:E326" si="49">E283</f>
        <v>31.7</v>
      </c>
      <c r="F284">
        <f t="shared" ref="F284:F326" si="50">F283</f>
        <v>218</v>
      </c>
      <c r="G284">
        <f t="shared" ref="G284:G326" si="51">G283</f>
        <v>80.2</v>
      </c>
      <c r="H284" t="str">
        <f t="shared" si="44"/>
        <v>壤土</v>
      </c>
      <c r="N284" t="s">
        <v>27</v>
      </c>
      <c r="O284">
        <v>20</v>
      </c>
      <c r="P284">
        <v>200</v>
      </c>
      <c r="Q284">
        <v>23</v>
      </c>
      <c r="R284">
        <v>48</v>
      </c>
      <c r="S284">
        <v>0.97799999999999998</v>
      </c>
    </row>
    <row r="285" spans="1:19" x14ac:dyDescent="0.25">
      <c r="A285">
        <f t="shared" si="46"/>
        <v>1013</v>
      </c>
      <c r="B285">
        <f t="shared" si="47"/>
        <v>1</v>
      </c>
      <c r="C285" t="str">
        <f t="shared" si="48"/>
        <v>萘</v>
      </c>
      <c r="D285">
        <f t="shared" si="45"/>
        <v>3.3</v>
      </c>
      <c r="E285">
        <v>31.7</v>
      </c>
      <c r="F285">
        <f t="shared" si="50"/>
        <v>218</v>
      </c>
      <c r="G285">
        <f t="shared" si="51"/>
        <v>80.2</v>
      </c>
      <c r="H285" t="str">
        <f t="shared" si="44"/>
        <v>壤土</v>
      </c>
      <c r="N285" t="s">
        <v>27</v>
      </c>
      <c r="O285">
        <v>20</v>
      </c>
      <c r="P285">
        <v>500</v>
      </c>
      <c r="Q285">
        <v>23</v>
      </c>
      <c r="R285">
        <v>12</v>
      </c>
      <c r="S285">
        <v>0.76400000000000001</v>
      </c>
    </row>
    <row r="286" spans="1:19" x14ac:dyDescent="0.25">
      <c r="A286">
        <f t="shared" si="46"/>
        <v>1013</v>
      </c>
      <c r="B286">
        <f t="shared" si="47"/>
        <v>1</v>
      </c>
      <c r="C286" t="str">
        <f t="shared" si="48"/>
        <v>萘</v>
      </c>
      <c r="D286">
        <f t="shared" si="45"/>
        <v>3.3</v>
      </c>
      <c r="E286">
        <f t="shared" si="49"/>
        <v>31.7</v>
      </c>
      <c r="F286">
        <f t="shared" si="50"/>
        <v>218</v>
      </c>
      <c r="G286">
        <f t="shared" si="51"/>
        <v>80.2</v>
      </c>
      <c r="H286" t="str">
        <f t="shared" si="44"/>
        <v>壤土</v>
      </c>
      <c r="N286" t="s">
        <v>27</v>
      </c>
      <c r="O286">
        <v>20</v>
      </c>
      <c r="P286">
        <v>500</v>
      </c>
      <c r="Q286">
        <v>23</v>
      </c>
      <c r="R286">
        <v>24</v>
      </c>
      <c r="S286">
        <v>0.75600000000000001</v>
      </c>
    </row>
    <row r="287" spans="1:19" x14ac:dyDescent="0.25">
      <c r="A287">
        <f t="shared" si="46"/>
        <v>1013</v>
      </c>
      <c r="B287">
        <f t="shared" si="47"/>
        <v>1</v>
      </c>
      <c r="C287" t="str">
        <f t="shared" si="48"/>
        <v>萘</v>
      </c>
      <c r="D287">
        <f t="shared" si="45"/>
        <v>3.3</v>
      </c>
      <c r="E287">
        <f t="shared" si="49"/>
        <v>31.7</v>
      </c>
      <c r="F287">
        <f t="shared" si="50"/>
        <v>218</v>
      </c>
      <c r="G287">
        <f t="shared" si="51"/>
        <v>80.2</v>
      </c>
      <c r="H287" t="str">
        <f t="shared" si="44"/>
        <v>壤土</v>
      </c>
      <c r="N287" t="s">
        <v>27</v>
      </c>
      <c r="O287">
        <v>20</v>
      </c>
      <c r="P287">
        <v>500</v>
      </c>
      <c r="Q287">
        <v>23</v>
      </c>
      <c r="R287">
        <v>36</v>
      </c>
      <c r="S287">
        <v>0.83099999999999996</v>
      </c>
    </row>
    <row r="288" spans="1:19" x14ac:dyDescent="0.25">
      <c r="A288">
        <f t="shared" si="46"/>
        <v>1013</v>
      </c>
      <c r="B288">
        <f t="shared" si="47"/>
        <v>1</v>
      </c>
      <c r="C288" t="str">
        <f t="shared" si="48"/>
        <v>萘</v>
      </c>
      <c r="D288">
        <f t="shared" si="45"/>
        <v>3.3</v>
      </c>
      <c r="E288">
        <f t="shared" si="49"/>
        <v>31.7</v>
      </c>
      <c r="F288">
        <f t="shared" si="50"/>
        <v>218</v>
      </c>
      <c r="G288">
        <f t="shared" si="51"/>
        <v>80.2</v>
      </c>
      <c r="H288" t="str">
        <f t="shared" si="44"/>
        <v>壤土</v>
      </c>
      <c r="N288" t="s">
        <v>27</v>
      </c>
      <c r="O288">
        <v>20</v>
      </c>
      <c r="P288">
        <v>500</v>
      </c>
      <c r="Q288">
        <v>23</v>
      </c>
      <c r="R288">
        <v>48</v>
      </c>
      <c r="S288">
        <v>0.89500000000000002</v>
      </c>
    </row>
    <row r="289" spans="1:19" x14ac:dyDescent="0.25">
      <c r="A289">
        <f t="shared" si="46"/>
        <v>1013</v>
      </c>
      <c r="B289">
        <f t="shared" si="47"/>
        <v>1</v>
      </c>
      <c r="C289" t="str">
        <f t="shared" si="48"/>
        <v>萘</v>
      </c>
      <c r="D289">
        <f t="shared" si="45"/>
        <v>3.3</v>
      </c>
      <c r="E289">
        <f t="shared" si="49"/>
        <v>31.7</v>
      </c>
      <c r="F289">
        <f t="shared" si="50"/>
        <v>218</v>
      </c>
      <c r="G289">
        <f t="shared" si="51"/>
        <v>80.2</v>
      </c>
      <c r="H289" t="str">
        <f t="shared" si="44"/>
        <v>壤土</v>
      </c>
      <c r="N289" t="s">
        <v>27</v>
      </c>
      <c r="O289">
        <v>20</v>
      </c>
      <c r="P289">
        <v>750</v>
      </c>
      <c r="Q289">
        <v>23</v>
      </c>
      <c r="R289">
        <v>12</v>
      </c>
      <c r="S289">
        <v>0.45900000000000002</v>
      </c>
    </row>
    <row r="290" spans="1:19" x14ac:dyDescent="0.25">
      <c r="A290">
        <f t="shared" si="46"/>
        <v>1013</v>
      </c>
      <c r="B290">
        <f t="shared" si="47"/>
        <v>1</v>
      </c>
      <c r="C290" t="str">
        <f t="shared" si="48"/>
        <v>萘</v>
      </c>
      <c r="D290">
        <f t="shared" si="45"/>
        <v>3.3</v>
      </c>
      <c r="E290">
        <f t="shared" si="49"/>
        <v>31.7</v>
      </c>
      <c r="F290">
        <f t="shared" si="50"/>
        <v>218</v>
      </c>
      <c r="G290">
        <f t="shared" si="51"/>
        <v>80.2</v>
      </c>
      <c r="H290" t="str">
        <f t="shared" si="44"/>
        <v>壤土</v>
      </c>
      <c r="N290" t="s">
        <v>27</v>
      </c>
      <c r="O290">
        <v>20</v>
      </c>
      <c r="P290">
        <v>750</v>
      </c>
      <c r="Q290">
        <v>23</v>
      </c>
      <c r="R290">
        <v>24</v>
      </c>
      <c r="S290">
        <v>0.54600000000000004</v>
      </c>
    </row>
    <row r="291" spans="1:19" x14ac:dyDescent="0.25">
      <c r="A291">
        <f t="shared" si="46"/>
        <v>1013</v>
      </c>
      <c r="B291">
        <f t="shared" si="47"/>
        <v>1</v>
      </c>
      <c r="C291" t="str">
        <f t="shared" si="48"/>
        <v>萘</v>
      </c>
      <c r="D291">
        <f t="shared" si="45"/>
        <v>3.3</v>
      </c>
      <c r="E291">
        <f t="shared" si="49"/>
        <v>31.7</v>
      </c>
      <c r="F291">
        <f t="shared" si="50"/>
        <v>218</v>
      </c>
      <c r="G291">
        <f t="shared" si="51"/>
        <v>80.2</v>
      </c>
      <c r="H291" t="str">
        <f t="shared" si="44"/>
        <v>壤土</v>
      </c>
      <c r="N291" t="s">
        <v>27</v>
      </c>
      <c r="O291">
        <v>20</v>
      </c>
      <c r="P291">
        <v>750</v>
      </c>
      <c r="Q291">
        <v>23</v>
      </c>
      <c r="R291">
        <v>36</v>
      </c>
      <c r="S291">
        <v>0.63400000000000001</v>
      </c>
    </row>
    <row r="292" spans="1:19" x14ac:dyDescent="0.25">
      <c r="A292">
        <f t="shared" si="46"/>
        <v>1013</v>
      </c>
      <c r="B292">
        <f t="shared" si="47"/>
        <v>1</v>
      </c>
      <c r="C292" t="str">
        <f t="shared" si="48"/>
        <v>萘</v>
      </c>
      <c r="D292">
        <f t="shared" si="45"/>
        <v>3.3</v>
      </c>
      <c r="E292">
        <f t="shared" si="49"/>
        <v>31.7</v>
      </c>
      <c r="F292">
        <f t="shared" si="50"/>
        <v>218</v>
      </c>
      <c r="G292">
        <f t="shared" si="51"/>
        <v>80.2</v>
      </c>
      <c r="H292" t="str">
        <f t="shared" si="44"/>
        <v>壤土</v>
      </c>
      <c r="N292" t="s">
        <v>27</v>
      </c>
      <c r="O292">
        <v>20</v>
      </c>
      <c r="P292">
        <v>750</v>
      </c>
      <c r="Q292">
        <v>23</v>
      </c>
      <c r="R292">
        <v>48</v>
      </c>
      <c r="S292">
        <v>0.64</v>
      </c>
    </row>
    <row r="293" spans="1:19" x14ac:dyDescent="0.25">
      <c r="A293">
        <f t="shared" si="46"/>
        <v>1013</v>
      </c>
      <c r="B293">
        <f t="shared" si="47"/>
        <v>1</v>
      </c>
      <c r="C293" t="str">
        <f t="shared" si="48"/>
        <v>萘</v>
      </c>
      <c r="D293">
        <f t="shared" si="45"/>
        <v>3.3</v>
      </c>
      <c r="E293">
        <f t="shared" si="49"/>
        <v>31.7</v>
      </c>
      <c r="F293">
        <f t="shared" si="50"/>
        <v>218</v>
      </c>
      <c r="G293">
        <f t="shared" si="51"/>
        <v>80.2</v>
      </c>
      <c r="H293" t="str">
        <f t="shared" si="44"/>
        <v>壤土</v>
      </c>
      <c r="N293" t="s">
        <v>27</v>
      </c>
      <c r="O293">
        <v>10</v>
      </c>
      <c r="P293">
        <v>500</v>
      </c>
      <c r="Q293">
        <v>23</v>
      </c>
      <c r="R293">
        <v>12</v>
      </c>
      <c r="S293">
        <v>0.61699999999999999</v>
      </c>
    </row>
    <row r="294" spans="1:19" x14ac:dyDescent="0.25">
      <c r="A294">
        <f t="shared" si="46"/>
        <v>1013</v>
      </c>
      <c r="B294">
        <f t="shared" si="47"/>
        <v>1</v>
      </c>
      <c r="C294" t="str">
        <f t="shared" si="48"/>
        <v>萘</v>
      </c>
      <c r="D294">
        <f t="shared" si="45"/>
        <v>3.3</v>
      </c>
      <c r="E294">
        <f t="shared" si="49"/>
        <v>31.7</v>
      </c>
      <c r="F294">
        <f t="shared" si="50"/>
        <v>218</v>
      </c>
      <c r="G294">
        <f t="shared" si="51"/>
        <v>80.2</v>
      </c>
      <c r="H294" t="str">
        <f t="shared" si="44"/>
        <v>壤土</v>
      </c>
      <c r="N294" t="s">
        <v>27</v>
      </c>
      <c r="O294">
        <v>10</v>
      </c>
      <c r="P294">
        <v>500</v>
      </c>
      <c r="Q294">
        <v>23</v>
      </c>
      <c r="R294">
        <v>24</v>
      </c>
      <c r="S294">
        <v>0.66900000000000004</v>
      </c>
    </row>
    <row r="295" spans="1:19" x14ac:dyDescent="0.25">
      <c r="A295">
        <f t="shared" si="46"/>
        <v>1013</v>
      </c>
      <c r="B295">
        <f t="shared" si="47"/>
        <v>1</v>
      </c>
      <c r="C295" t="str">
        <f t="shared" si="48"/>
        <v>萘</v>
      </c>
      <c r="D295">
        <f t="shared" si="45"/>
        <v>3.3</v>
      </c>
      <c r="E295">
        <v>31.7</v>
      </c>
      <c r="F295">
        <f t="shared" si="50"/>
        <v>218</v>
      </c>
      <c r="G295">
        <f t="shared" si="51"/>
        <v>80.2</v>
      </c>
      <c r="H295" t="str">
        <f t="shared" si="44"/>
        <v>壤土</v>
      </c>
      <c r="N295" t="s">
        <v>27</v>
      </c>
      <c r="O295">
        <v>10</v>
      </c>
      <c r="P295">
        <v>500</v>
      </c>
      <c r="Q295">
        <v>23</v>
      </c>
      <c r="R295">
        <v>36</v>
      </c>
      <c r="S295">
        <v>0.74099999999999999</v>
      </c>
    </row>
    <row r="296" spans="1:19" x14ac:dyDescent="0.25">
      <c r="A296">
        <f t="shared" si="46"/>
        <v>1013</v>
      </c>
      <c r="B296">
        <f t="shared" si="47"/>
        <v>1</v>
      </c>
      <c r="C296" t="str">
        <f t="shared" si="48"/>
        <v>萘</v>
      </c>
      <c r="D296">
        <f t="shared" si="45"/>
        <v>3.3</v>
      </c>
      <c r="E296">
        <f t="shared" si="49"/>
        <v>31.7</v>
      </c>
      <c r="F296">
        <f t="shared" si="50"/>
        <v>218</v>
      </c>
      <c r="G296">
        <f t="shared" si="51"/>
        <v>80.2</v>
      </c>
      <c r="H296" t="str">
        <f t="shared" si="44"/>
        <v>壤土</v>
      </c>
      <c r="N296" t="s">
        <v>27</v>
      </c>
      <c r="O296">
        <v>30</v>
      </c>
      <c r="P296">
        <v>500</v>
      </c>
      <c r="Q296">
        <v>23</v>
      </c>
      <c r="R296">
        <v>12</v>
      </c>
      <c r="S296">
        <v>0.52100000000000002</v>
      </c>
    </row>
    <row r="297" spans="1:19" x14ac:dyDescent="0.25">
      <c r="A297">
        <f t="shared" si="46"/>
        <v>1013</v>
      </c>
      <c r="B297">
        <f t="shared" si="47"/>
        <v>1</v>
      </c>
      <c r="C297" t="str">
        <f t="shared" si="48"/>
        <v>萘</v>
      </c>
      <c r="D297">
        <f t="shared" si="45"/>
        <v>3.3</v>
      </c>
      <c r="E297">
        <f t="shared" si="49"/>
        <v>31.7</v>
      </c>
      <c r="F297">
        <f t="shared" si="50"/>
        <v>218</v>
      </c>
      <c r="G297">
        <f t="shared" si="51"/>
        <v>80.2</v>
      </c>
      <c r="H297" t="str">
        <f t="shared" si="44"/>
        <v>壤土</v>
      </c>
      <c r="N297" t="s">
        <v>27</v>
      </c>
      <c r="O297">
        <v>30</v>
      </c>
      <c r="P297">
        <v>500</v>
      </c>
      <c r="Q297">
        <v>23</v>
      </c>
      <c r="R297">
        <v>24</v>
      </c>
      <c r="S297">
        <v>0.59099999999999997</v>
      </c>
    </row>
    <row r="298" spans="1:19" x14ac:dyDescent="0.25">
      <c r="A298">
        <f t="shared" si="46"/>
        <v>1013</v>
      </c>
      <c r="B298">
        <f t="shared" si="47"/>
        <v>1</v>
      </c>
      <c r="C298" t="str">
        <f t="shared" si="48"/>
        <v>萘</v>
      </c>
      <c r="D298">
        <f t="shared" si="45"/>
        <v>3.3</v>
      </c>
      <c r="E298">
        <f t="shared" si="49"/>
        <v>31.7</v>
      </c>
      <c r="F298">
        <f t="shared" si="50"/>
        <v>218</v>
      </c>
      <c r="G298">
        <f t="shared" si="51"/>
        <v>80.2</v>
      </c>
      <c r="H298" t="str">
        <f t="shared" si="44"/>
        <v>壤土</v>
      </c>
      <c r="N298" t="s">
        <v>27</v>
      </c>
      <c r="O298">
        <v>30</v>
      </c>
      <c r="P298">
        <v>500</v>
      </c>
      <c r="Q298">
        <v>23</v>
      </c>
      <c r="R298">
        <v>36</v>
      </c>
      <c r="S298">
        <v>0.68899999999999995</v>
      </c>
    </row>
    <row r="299" spans="1:19" x14ac:dyDescent="0.25">
      <c r="A299">
        <f t="shared" si="46"/>
        <v>1013</v>
      </c>
      <c r="B299">
        <f t="shared" si="47"/>
        <v>1</v>
      </c>
      <c r="C299" t="str">
        <f t="shared" si="48"/>
        <v>萘</v>
      </c>
      <c r="D299">
        <f t="shared" si="45"/>
        <v>3.3</v>
      </c>
      <c r="E299">
        <f t="shared" si="49"/>
        <v>31.7</v>
      </c>
      <c r="F299">
        <f t="shared" si="50"/>
        <v>218</v>
      </c>
      <c r="G299">
        <f t="shared" si="51"/>
        <v>80.2</v>
      </c>
      <c r="H299" t="str">
        <f t="shared" si="44"/>
        <v>壤土</v>
      </c>
      <c r="N299" t="s">
        <v>27</v>
      </c>
      <c r="O299">
        <v>30</v>
      </c>
      <c r="P299">
        <v>500</v>
      </c>
      <c r="Q299">
        <v>23</v>
      </c>
      <c r="R299">
        <v>48</v>
      </c>
      <c r="S299">
        <v>0.57599999999999996</v>
      </c>
    </row>
    <row r="300" spans="1:19" x14ac:dyDescent="0.25">
      <c r="A300">
        <f t="shared" si="46"/>
        <v>1013</v>
      </c>
      <c r="B300">
        <f t="shared" si="47"/>
        <v>1</v>
      </c>
      <c r="C300" t="str">
        <f t="shared" si="48"/>
        <v>萘</v>
      </c>
      <c r="D300">
        <f t="shared" si="45"/>
        <v>3.3</v>
      </c>
      <c r="E300">
        <f t="shared" si="49"/>
        <v>31.7</v>
      </c>
      <c r="F300">
        <f t="shared" si="50"/>
        <v>218</v>
      </c>
      <c r="G300">
        <f t="shared" si="51"/>
        <v>80.2</v>
      </c>
      <c r="H300" t="str">
        <f t="shared" si="44"/>
        <v>壤土</v>
      </c>
      <c r="N300" t="s">
        <v>27</v>
      </c>
      <c r="O300">
        <v>20</v>
      </c>
      <c r="P300">
        <v>500</v>
      </c>
      <c r="Q300">
        <v>4</v>
      </c>
      <c r="R300">
        <v>12</v>
      </c>
      <c r="S300">
        <v>0.26700000000000002</v>
      </c>
    </row>
    <row r="301" spans="1:19" x14ac:dyDescent="0.25">
      <c r="A301">
        <f t="shared" si="46"/>
        <v>1013</v>
      </c>
      <c r="B301">
        <f t="shared" si="47"/>
        <v>1</v>
      </c>
      <c r="C301" t="str">
        <f t="shared" si="48"/>
        <v>萘</v>
      </c>
      <c r="D301">
        <f t="shared" si="45"/>
        <v>3.3</v>
      </c>
      <c r="E301">
        <f t="shared" si="49"/>
        <v>31.7</v>
      </c>
      <c r="F301">
        <f t="shared" si="50"/>
        <v>218</v>
      </c>
      <c r="G301">
        <f t="shared" si="51"/>
        <v>80.2</v>
      </c>
      <c r="H301" t="str">
        <f t="shared" si="44"/>
        <v>壤土</v>
      </c>
      <c r="N301" t="s">
        <v>27</v>
      </c>
      <c r="O301">
        <v>20</v>
      </c>
      <c r="P301">
        <v>500</v>
      </c>
      <c r="Q301">
        <v>4</v>
      </c>
      <c r="R301">
        <v>24</v>
      </c>
      <c r="S301">
        <v>0.371</v>
      </c>
    </row>
    <row r="302" spans="1:19" x14ac:dyDescent="0.25">
      <c r="A302">
        <f t="shared" si="46"/>
        <v>1013</v>
      </c>
      <c r="B302">
        <f t="shared" si="47"/>
        <v>1</v>
      </c>
      <c r="C302" t="str">
        <f t="shared" si="48"/>
        <v>萘</v>
      </c>
      <c r="D302">
        <f t="shared" si="45"/>
        <v>3.3</v>
      </c>
      <c r="E302">
        <f t="shared" si="49"/>
        <v>31.7</v>
      </c>
      <c r="F302">
        <f t="shared" si="50"/>
        <v>218</v>
      </c>
      <c r="G302">
        <f t="shared" si="51"/>
        <v>80.2</v>
      </c>
      <c r="H302" t="str">
        <f t="shared" si="44"/>
        <v>壤土</v>
      </c>
      <c r="N302" t="s">
        <v>27</v>
      </c>
      <c r="O302">
        <v>10</v>
      </c>
      <c r="P302">
        <v>500</v>
      </c>
      <c r="Q302">
        <v>23</v>
      </c>
      <c r="R302">
        <v>48</v>
      </c>
      <c r="S302">
        <v>0.76100000000000001</v>
      </c>
    </row>
    <row r="303" spans="1:19" x14ac:dyDescent="0.25">
      <c r="A303">
        <f t="shared" si="46"/>
        <v>1013</v>
      </c>
      <c r="B303">
        <f t="shared" si="47"/>
        <v>1</v>
      </c>
      <c r="C303" t="str">
        <f t="shared" si="48"/>
        <v>萘</v>
      </c>
      <c r="D303">
        <f t="shared" si="45"/>
        <v>3.3</v>
      </c>
      <c r="E303">
        <f t="shared" si="49"/>
        <v>31.7</v>
      </c>
      <c r="F303">
        <f t="shared" si="50"/>
        <v>218</v>
      </c>
      <c r="G303">
        <f t="shared" si="51"/>
        <v>80.2</v>
      </c>
      <c r="H303" t="str">
        <f t="shared" si="44"/>
        <v>壤土</v>
      </c>
      <c r="N303" t="s">
        <v>27</v>
      </c>
      <c r="O303">
        <v>20</v>
      </c>
      <c r="P303">
        <v>500</v>
      </c>
      <c r="Q303">
        <v>4</v>
      </c>
      <c r="R303">
        <v>36</v>
      </c>
      <c r="S303">
        <v>0.42</v>
      </c>
    </row>
    <row r="304" spans="1:19" x14ac:dyDescent="0.25">
      <c r="A304">
        <f t="shared" si="46"/>
        <v>1013</v>
      </c>
      <c r="B304">
        <f t="shared" si="47"/>
        <v>1</v>
      </c>
      <c r="C304" t="str">
        <f t="shared" si="48"/>
        <v>萘</v>
      </c>
      <c r="D304">
        <f t="shared" si="45"/>
        <v>3.3</v>
      </c>
      <c r="E304">
        <f t="shared" si="49"/>
        <v>31.7</v>
      </c>
      <c r="F304">
        <f t="shared" si="50"/>
        <v>218</v>
      </c>
      <c r="G304">
        <f t="shared" si="51"/>
        <v>80.2</v>
      </c>
      <c r="H304" t="str">
        <f t="shared" si="44"/>
        <v>壤土</v>
      </c>
      <c r="N304" t="s">
        <v>27</v>
      </c>
      <c r="O304">
        <v>20</v>
      </c>
      <c r="P304">
        <v>500</v>
      </c>
      <c r="Q304">
        <v>4</v>
      </c>
      <c r="R304">
        <v>48</v>
      </c>
      <c r="S304">
        <v>0.50900000000000001</v>
      </c>
    </row>
    <row r="305" spans="1:19" x14ac:dyDescent="0.25">
      <c r="A305">
        <f t="shared" si="46"/>
        <v>1013</v>
      </c>
      <c r="B305">
        <f t="shared" si="47"/>
        <v>1</v>
      </c>
      <c r="C305" t="str">
        <f t="shared" si="48"/>
        <v>萘</v>
      </c>
      <c r="D305">
        <f t="shared" si="45"/>
        <v>3.3</v>
      </c>
      <c r="E305">
        <v>31.7</v>
      </c>
      <c r="F305">
        <f t="shared" si="50"/>
        <v>218</v>
      </c>
      <c r="G305">
        <f t="shared" si="51"/>
        <v>80.2</v>
      </c>
      <c r="H305" t="str">
        <f t="shared" si="44"/>
        <v>壤土</v>
      </c>
      <c r="N305" t="s">
        <v>27</v>
      </c>
      <c r="O305">
        <v>20</v>
      </c>
      <c r="P305">
        <v>500</v>
      </c>
      <c r="Q305">
        <v>10</v>
      </c>
      <c r="R305">
        <v>12</v>
      </c>
      <c r="S305">
        <v>0.65700000000000003</v>
      </c>
    </row>
    <row r="306" spans="1:19" x14ac:dyDescent="0.25">
      <c r="A306">
        <f t="shared" si="46"/>
        <v>1013</v>
      </c>
      <c r="B306">
        <f t="shared" si="47"/>
        <v>1</v>
      </c>
      <c r="C306" t="str">
        <f t="shared" si="48"/>
        <v>萘</v>
      </c>
      <c r="D306">
        <f t="shared" si="45"/>
        <v>3.3</v>
      </c>
      <c r="E306">
        <f t="shared" si="49"/>
        <v>31.7</v>
      </c>
      <c r="F306">
        <f t="shared" si="50"/>
        <v>218</v>
      </c>
      <c r="G306">
        <f t="shared" si="51"/>
        <v>80.2</v>
      </c>
      <c r="H306" t="str">
        <f t="shared" si="44"/>
        <v>壤土</v>
      </c>
      <c r="N306" t="s">
        <v>27</v>
      </c>
      <c r="O306">
        <v>20</v>
      </c>
      <c r="P306">
        <v>500</v>
      </c>
      <c r="Q306">
        <v>10</v>
      </c>
      <c r="R306">
        <v>24</v>
      </c>
      <c r="S306">
        <v>0.66700000000000004</v>
      </c>
    </row>
    <row r="307" spans="1:19" x14ac:dyDescent="0.25">
      <c r="A307">
        <f t="shared" si="46"/>
        <v>1013</v>
      </c>
      <c r="B307">
        <f t="shared" si="47"/>
        <v>1</v>
      </c>
      <c r="C307" t="str">
        <f t="shared" si="48"/>
        <v>萘</v>
      </c>
      <c r="D307">
        <f t="shared" si="45"/>
        <v>3.3</v>
      </c>
      <c r="E307">
        <f t="shared" si="49"/>
        <v>31.7</v>
      </c>
      <c r="F307">
        <f t="shared" si="50"/>
        <v>218</v>
      </c>
      <c r="G307">
        <f t="shared" si="51"/>
        <v>80.2</v>
      </c>
      <c r="H307" t="str">
        <f t="shared" si="44"/>
        <v>壤土</v>
      </c>
      <c r="N307" t="s">
        <v>27</v>
      </c>
      <c r="O307">
        <v>20</v>
      </c>
      <c r="P307">
        <v>500</v>
      </c>
      <c r="Q307">
        <v>10</v>
      </c>
      <c r="R307">
        <v>36</v>
      </c>
      <c r="S307">
        <v>0.61099999999999999</v>
      </c>
    </row>
    <row r="308" spans="1:19" x14ac:dyDescent="0.25">
      <c r="A308">
        <f t="shared" si="46"/>
        <v>1013</v>
      </c>
      <c r="B308">
        <f t="shared" si="47"/>
        <v>1</v>
      </c>
      <c r="C308" t="str">
        <f t="shared" si="48"/>
        <v>萘</v>
      </c>
      <c r="D308">
        <f t="shared" si="45"/>
        <v>3.3</v>
      </c>
      <c r="E308">
        <f t="shared" si="49"/>
        <v>31.7</v>
      </c>
      <c r="F308">
        <f t="shared" si="50"/>
        <v>218</v>
      </c>
      <c r="G308">
        <f t="shared" si="51"/>
        <v>80.2</v>
      </c>
      <c r="H308" t="str">
        <f t="shared" si="44"/>
        <v>壤土</v>
      </c>
      <c r="N308" t="s">
        <v>27</v>
      </c>
      <c r="O308">
        <v>20</v>
      </c>
      <c r="P308">
        <v>500</v>
      </c>
      <c r="Q308">
        <v>10</v>
      </c>
      <c r="R308">
        <v>48</v>
      </c>
      <c r="S308">
        <v>0.75900000000000001</v>
      </c>
    </row>
    <row r="309" spans="1:19" x14ac:dyDescent="0.25">
      <c r="A309">
        <f t="shared" si="46"/>
        <v>1013</v>
      </c>
      <c r="B309">
        <f t="shared" si="47"/>
        <v>1</v>
      </c>
      <c r="C309" t="str">
        <f t="shared" si="48"/>
        <v>萘</v>
      </c>
      <c r="D309">
        <f t="shared" si="45"/>
        <v>3.3</v>
      </c>
      <c r="E309">
        <f t="shared" si="49"/>
        <v>31.7</v>
      </c>
      <c r="F309">
        <f t="shared" si="50"/>
        <v>218</v>
      </c>
      <c r="G309">
        <f t="shared" si="51"/>
        <v>80.2</v>
      </c>
      <c r="H309" t="str">
        <f t="shared" si="44"/>
        <v>壤土</v>
      </c>
      <c r="N309" t="str">
        <f>N308</f>
        <v>2环</v>
      </c>
      <c r="O309">
        <v>20</v>
      </c>
      <c r="P309">
        <v>500</v>
      </c>
      <c r="Q309">
        <v>16</v>
      </c>
      <c r="R309">
        <v>12</v>
      </c>
      <c r="S309">
        <v>0.375</v>
      </c>
    </row>
    <row r="310" spans="1:19" x14ac:dyDescent="0.25">
      <c r="A310">
        <f t="shared" si="46"/>
        <v>1013</v>
      </c>
      <c r="B310">
        <f t="shared" si="47"/>
        <v>1</v>
      </c>
      <c r="C310" t="str">
        <f t="shared" si="48"/>
        <v>萘</v>
      </c>
      <c r="D310">
        <f t="shared" si="45"/>
        <v>3.3</v>
      </c>
      <c r="E310">
        <f t="shared" si="49"/>
        <v>31.7</v>
      </c>
      <c r="F310">
        <f t="shared" si="50"/>
        <v>218</v>
      </c>
      <c r="G310">
        <f t="shared" si="51"/>
        <v>80.2</v>
      </c>
      <c r="H310" t="str">
        <f t="shared" si="44"/>
        <v>壤土</v>
      </c>
      <c r="N310" t="str">
        <f t="shared" ref="N310:N326" si="52">N309</f>
        <v>2环</v>
      </c>
      <c r="O310">
        <v>20</v>
      </c>
      <c r="P310">
        <v>500</v>
      </c>
      <c r="Q310">
        <v>16</v>
      </c>
      <c r="R310">
        <v>24</v>
      </c>
      <c r="S310">
        <v>0.67400000000000004</v>
      </c>
    </row>
    <row r="311" spans="1:19" x14ac:dyDescent="0.25">
      <c r="A311">
        <f t="shared" si="46"/>
        <v>1013</v>
      </c>
      <c r="B311">
        <f t="shared" si="47"/>
        <v>1</v>
      </c>
      <c r="C311" t="str">
        <f t="shared" si="48"/>
        <v>萘</v>
      </c>
      <c r="D311">
        <f t="shared" si="45"/>
        <v>3.3</v>
      </c>
      <c r="E311">
        <f t="shared" si="49"/>
        <v>31.7</v>
      </c>
      <c r="F311">
        <f t="shared" si="50"/>
        <v>218</v>
      </c>
      <c r="G311">
        <f t="shared" si="51"/>
        <v>80.2</v>
      </c>
      <c r="H311" t="str">
        <f t="shared" si="44"/>
        <v>壤土</v>
      </c>
      <c r="N311" t="str">
        <f t="shared" si="52"/>
        <v>2环</v>
      </c>
      <c r="O311">
        <v>20</v>
      </c>
      <c r="P311">
        <v>500</v>
      </c>
      <c r="Q311">
        <v>16</v>
      </c>
      <c r="R311">
        <v>36</v>
      </c>
      <c r="S311">
        <v>0.748</v>
      </c>
    </row>
    <row r="312" spans="1:19" x14ac:dyDescent="0.25">
      <c r="A312">
        <f t="shared" si="46"/>
        <v>1013</v>
      </c>
      <c r="B312">
        <f t="shared" si="47"/>
        <v>1</v>
      </c>
      <c r="C312" t="str">
        <f t="shared" si="48"/>
        <v>萘</v>
      </c>
      <c r="D312">
        <f t="shared" si="45"/>
        <v>3.3</v>
      </c>
      <c r="E312">
        <f t="shared" si="49"/>
        <v>31.7</v>
      </c>
      <c r="F312">
        <f t="shared" si="50"/>
        <v>218</v>
      </c>
      <c r="G312">
        <f t="shared" si="51"/>
        <v>80.2</v>
      </c>
      <c r="H312" t="str">
        <f t="shared" si="44"/>
        <v>壤土</v>
      </c>
      <c r="N312" t="str">
        <f t="shared" si="52"/>
        <v>2环</v>
      </c>
      <c r="O312">
        <v>20</v>
      </c>
      <c r="P312">
        <v>500</v>
      </c>
      <c r="Q312">
        <v>16</v>
      </c>
      <c r="R312">
        <v>48</v>
      </c>
      <c r="S312">
        <v>0.75</v>
      </c>
    </row>
    <row r="313" spans="1:19" x14ac:dyDescent="0.25">
      <c r="A313">
        <f t="shared" si="46"/>
        <v>1013</v>
      </c>
      <c r="B313">
        <f t="shared" si="47"/>
        <v>1</v>
      </c>
      <c r="C313" t="str">
        <f t="shared" si="48"/>
        <v>萘</v>
      </c>
      <c r="D313">
        <f t="shared" si="45"/>
        <v>3.3</v>
      </c>
      <c r="E313">
        <f t="shared" si="49"/>
        <v>31.7</v>
      </c>
      <c r="F313">
        <f t="shared" si="50"/>
        <v>218</v>
      </c>
      <c r="G313">
        <f t="shared" si="51"/>
        <v>80.2</v>
      </c>
      <c r="H313" t="str">
        <f t="shared" si="44"/>
        <v>壤土</v>
      </c>
      <c r="N313" t="str">
        <f t="shared" si="52"/>
        <v>2环</v>
      </c>
      <c r="O313">
        <v>20</v>
      </c>
      <c r="P313">
        <v>500</v>
      </c>
      <c r="Q313">
        <v>30</v>
      </c>
      <c r="R313">
        <v>12</v>
      </c>
      <c r="S313">
        <v>0.63300000000000001</v>
      </c>
    </row>
    <row r="314" spans="1:19" x14ac:dyDescent="0.25">
      <c r="A314">
        <f t="shared" si="46"/>
        <v>1013</v>
      </c>
      <c r="B314">
        <f t="shared" si="47"/>
        <v>1</v>
      </c>
      <c r="C314" t="str">
        <f t="shared" si="48"/>
        <v>萘</v>
      </c>
      <c r="D314">
        <f t="shared" si="45"/>
        <v>3.3</v>
      </c>
      <c r="E314">
        <f t="shared" si="49"/>
        <v>31.7</v>
      </c>
      <c r="F314">
        <f t="shared" si="50"/>
        <v>218</v>
      </c>
      <c r="G314">
        <f t="shared" si="51"/>
        <v>80.2</v>
      </c>
      <c r="H314" t="str">
        <f t="shared" ref="H314:H340" si="53">H313</f>
        <v>壤土</v>
      </c>
      <c r="N314" t="str">
        <f t="shared" si="52"/>
        <v>2环</v>
      </c>
      <c r="O314">
        <v>20</v>
      </c>
      <c r="P314">
        <v>500</v>
      </c>
      <c r="Q314">
        <v>30</v>
      </c>
      <c r="R314">
        <v>24</v>
      </c>
      <c r="S314">
        <v>0.72699999999999998</v>
      </c>
    </row>
    <row r="315" spans="1:19" x14ac:dyDescent="0.25">
      <c r="A315">
        <f t="shared" si="46"/>
        <v>1013</v>
      </c>
      <c r="B315">
        <f t="shared" si="47"/>
        <v>1</v>
      </c>
      <c r="C315" t="str">
        <f t="shared" si="48"/>
        <v>萘</v>
      </c>
      <c r="D315">
        <f t="shared" si="45"/>
        <v>3.3</v>
      </c>
      <c r="E315">
        <v>31.7</v>
      </c>
      <c r="F315">
        <f t="shared" si="50"/>
        <v>218</v>
      </c>
      <c r="G315">
        <f t="shared" si="51"/>
        <v>80.2</v>
      </c>
      <c r="H315" t="str">
        <f t="shared" si="53"/>
        <v>壤土</v>
      </c>
      <c r="N315" t="str">
        <f t="shared" si="52"/>
        <v>2环</v>
      </c>
      <c r="O315">
        <v>20</v>
      </c>
      <c r="P315">
        <v>500</v>
      </c>
      <c r="Q315">
        <v>30</v>
      </c>
      <c r="R315">
        <v>36</v>
      </c>
      <c r="S315">
        <v>0.82</v>
      </c>
    </row>
    <row r="316" spans="1:19" x14ac:dyDescent="0.25">
      <c r="A316">
        <f t="shared" si="46"/>
        <v>1013</v>
      </c>
      <c r="B316">
        <f t="shared" si="47"/>
        <v>1</v>
      </c>
      <c r="C316" t="str">
        <f t="shared" si="48"/>
        <v>萘</v>
      </c>
      <c r="D316">
        <f t="shared" si="45"/>
        <v>3.3</v>
      </c>
      <c r="E316">
        <f t="shared" si="49"/>
        <v>31.7</v>
      </c>
      <c r="F316">
        <f t="shared" si="50"/>
        <v>218</v>
      </c>
      <c r="G316">
        <f t="shared" si="51"/>
        <v>80.2</v>
      </c>
      <c r="H316" t="str">
        <f t="shared" si="53"/>
        <v>壤土</v>
      </c>
      <c r="N316" t="str">
        <f t="shared" si="52"/>
        <v>2环</v>
      </c>
      <c r="O316">
        <v>20</v>
      </c>
      <c r="P316">
        <v>500</v>
      </c>
      <c r="Q316">
        <v>30</v>
      </c>
      <c r="R316">
        <v>48</v>
      </c>
      <c r="S316">
        <v>0.73899999999999999</v>
      </c>
    </row>
    <row r="317" spans="1:19" x14ac:dyDescent="0.25">
      <c r="A317">
        <f t="shared" si="46"/>
        <v>1013</v>
      </c>
      <c r="B317">
        <f t="shared" si="47"/>
        <v>1</v>
      </c>
      <c r="C317" t="str">
        <f t="shared" si="48"/>
        <v>萘</v>
      </c>
      <c r="D317">
        <f t="shared" si="45"/>
        <v>3.3</v>
      </c>
      <c r="E317">
        <f t="shared" si="49"/>
        <v>31.7</v>
      </c>
      <c r="F317">
        <f t="shared" si="50"/>
        <v>218</v>
      </c>
      <c r="G317">
        <f t="shared" si="51"/>
        <v>80.2</v>
      </c>
      <c r="H317" t="str">
        <f t="shared" si="53"/>
        <v>壤土</v>
      </c>
      <c r="N317" t="str">
        <f t="shared" si="52"/>
        <v>2环</v>
      </c>
      <c r="O317">
        <v>20</v>
      </c>
      <c r="P317">
        <v>500</v>
      </c>
      <c r="Q317">
        <v>37</v>
      </c>
      <c r="R317">
        <v>12</v>
      </c>
      <c r="S317">
        <v>0.64400000000000002</v>
      </c>
    </row>
    <row r="318" spans="1:19" x14ac:dyDescent="0.25">
      <c r="A318">
        <f t="shared" si="46"/>
        <v>1013</v>
      </c>
      <c r="B318">
        <f t="shared" si="47"/>
        <v>1</v>
      </c>
      <c r="C318" t="str">
        <f t="shared" si="48"/>
        <v>萘</v>
      </c>
      <c r="D318">
        <f t="shared" si="45"/>
        <v>3.3</v>
      </c>
      <c r="E318">
        <f t="shared" si="49"/>
        <v>31.7</v>
      </c>
      <c r="F318">
        <f t="shared" si="50"/>
        <v>218</v>
      </c>
      <c r="G318">
        <f t="shared" si="51"/>
        <v>80.2</v>
      </c>
      <c r="H318" t="str">
        <f t="shared" si="53"/>
        <v>壤土</v>
      </c>
      <c r="N318" t="str">
        <f t="shared" si="52"/>
        <v>2环</v>
      </c>
      <c r="O318">
        <v>20</v>
      </c>
      <c r="P318">
        <v>500</v>
      </c>
      <c r="Q318">
        <v>37</v>
      </c>
      <c r="R318">
        <v>24</v>
      </c>
      <c r="S318">
        <v>0.78900000000000003</v>
      </c>
    </row>
    <row r="319" spans="1:19" x14ac:dyDescent="0.25">
      <c r="A319">
        <f t="shared" si="46"/>
        <v>1013</v>
      </c>
      <c r="B319">
        <f t="shared" si="47"/>
        <v>1</v>
      </c>
      <c r="C319" t="str">
        <f t="shared" si="48"/>
        <v>萘</v>
      </c>
      <c r="D319">
        <f t="shared" si="45"/>
        <v>3.3</v>
      </c>
      <c r="E319">
        <f t="shared" si="49"/>
        <v>31.7</v>
      </c>
      <c r="F319">
        <f t="shared" si="50"/>
        <v>218</v>
      </c>
      <c r="G319">
        <f t="shared" si="51"/>
        <v>80.2</v>
      </c>
      <c r="H319" t="str">
        <f t="shared" si="53"/>
        <v>壤土</v>
      </c>
      <c r="N319" t="str">
        <f t="shared" si="52"/>
        <v>2环</v>
      </c>
      <c r="O319">
        <v>20</v>
      </c>
      <c r="P319">
        <v>500</v>
      </c>
      <c r="Q319">
        <v>37</v>
      </c>
      <c r="R319">
        <v>36</v>
      </c>
      <c r="S319">
        <v>0.84199999999999997</v>
      </c>
    </row>
    <row r="320" spans="1:19" x14ac:dyDescent="0.25">
      <c r="A320">
        <f t="shared" si="46"/>
        <v>1013</v>
      </c>
      <c r="B320">
        <f t="shared" si="47"/>
        <v>1</v>
      </c>
      <c r="C320" t="str">
        <f t="shared" si="48"/>
        <v>萘</v>
      </c>
      <c r="D320">
        <f t="shared" si="45"/>
        <v>3.3</v>
      </c>
      <c r="E320">
        <f t="shared" si="49"/>
        <v>31.7</v>
      </c>
      <c r="F320">
        <f t="shared" si="50"/>
        <v>218</v>
      </c>
      <c r="G320">
        <f t="shared" si="51"/>
        <v>80.2</v>
      </c>
      <c r="H320" t="str">
        <f t="shared" si="53"/>
        <v>壤土</v>
      </c>
      <c r="N320" t="str">
        <f t="shared" si="52"/>
        <v>2环</v>
      </c>
      <c r="O320">
        <v>20</v>
      </c>
      <c r="P320">
        <v>500</v>
      </c>
      <c r="Q320">
        <v>37</v>
      </c>
      <c r="R320">
        <v>48</v>
      </c>
      <c r="S320">
        <v>0.86799999999999999</v>
      </c>
    </row>
    <row r="321" spans="1:19" x14ac:dyDescent="0.25">
      <c r="A321">
        <f t="shared" si="46"/>
        <v>1013</v>
      </c>
      <c r="B321">
        <f t="shared" si="47"/>
        <v>1</v>
      </c>
      <c r="C321" t="str">
        <f t="shared" si="48"/>
        <v>萘</v>
      </c>
      <c r="D321">
        <f t="shared" si="45"/>
        <v>3.3</v>
      </c>
      <c r="E321">
        <f t="shared" si="49"/>
        <v>31.7</v>
      </c>
      <c r="F321">
        <f t="shared" si="50"/>
        <v>218</v>
      </c>
      <c r="G321">
        <f t="shared" si="51"/>
        <v>80.2</v>
      </c>
      <c r="H321" t="str">
        <f t="shared" si="53"/>
        <v>壤土</v>
      </c>
      <c r="N321" t="str">
        <f t="shared" si="52"/>
        <v>2环</v>
      </c>
      <c r="O321">
        <v>20</v>
      </c>
      <c r="P321">
        <v>500</v>
      </c>
      <c r="Q321">
        <v>23</v>
      </c>
      <c r="R321">
        <v>0.5</v>
      </c>
      <c r="S321">
        <v>0.68799999999999994</v>
      </c>
    </row>
    <row r="322" spans="1:19" x14ac:dyDescent="0.25">
      <c r="A322">
        <f t="shared" si="46"/>
        <v>1013</v>
      </c>
      <c r="B322">
        <f t="shared" si="47"/>
        <v>1</v>
      </c>
      <c r="C322" t="str">
        <f t="shared" si="48"/>
        <v>萘</v>
      </c>
      <c r="D322">
        <f t="shared" si="45"/>
        <v>3.3</v>
      </c>
      <c r="E322">
        <f t="shared" si="49"/>
        <v>31.7</v>
      </c>
      <c r="F322">
        <f t="shared" si="50"/>
        <v>218</v>
      </c>
      <c r="G322">
        <f t="shared" si="51"/>
        <v>80.2</v>
      </c>
      <c r="H322" t="str">
        <f t="shared" si="53"/>
        <v>壤土</v>
      </c>
      <c r="N322" t="str">
        <f t="shared" si="52"/>
        <v>2环</v>
      </c>
      <c r="O322">
        <v>20</v>
      </c>
      <c r="P322">
        <v>500</v>
      </c>
      <c r="Q322">
        <v>23</v>
      </c>
      <c r="R322">
        <v>1</v>
      </c>
      <c r="S322">
        <v>0.79800000000000004</v>
      </c>
    </row>
    <row r="323" spans="1:19" x14ac:dyDescent="0.25">
      <c r="A323">
        <f t="shared" si="46"/>
        <v>1013</v>
      </c>
      <c r="B323">
        <f t="shared" si="47"/>
        <v>1</v>
      </c>
      <c r="C323" t="str">
        <f t="shared" si="48"/>
        <v>萘</v>
      </c>
      <c r="D323">
        <f t="shared" si="45"/>
        <v>3.3</v>
      </c>
      <c r="E323">
        <f t="shared" si="49"/>
        <v>31.7</v>
      </c>
      <c r="F323">
        <f t="shared" si="50"/>
        <v>218</v>
      </c>
      <c r="G323">
        <f t="shared" si="51"/>
        <v>80.2</v>
      </c>
      <c r="H323" t="str">
        <f t="shared" si="53"/>
        <v>壤土</v>
      </c>
      <c r="N323" t="str">
        <f t="shared" si="52"/>
        <v>2环</v>
      </c>
      <c r="O323">
        <v>20</v>
      </c>
      <c r="P323">
        <v>500</v>
      </c>
      <c r="Q323">
        <v>23</v>
      </c>
      <c r="R323">
        <v>1.5</v>
      </c>
      <c r="S323">
        <v>0.84</v>
      </c>
    </row>
    <row r="324" spans="1:19" x14ac:dyDescent="0.25">
      <c r="A324">
        <f t="shared" si="46"/>
        <v>1013</v>
      </c>
      <c r="B324">
        <f t="shared" si="47"/>
        <v>1</v>
      </c>
      <c r="C324" t="str">
        <f t="shared" si="48"/>
        <v>萘</v>
      </c>
      <c r="D324">
        <f t="shared" si="45"/>
        <v>3.3</v>
      </c>
      <c r="E324">
        <f t="shared" si="49"/>
        <v>31.7</v>
      </c>
      <c r="F324">
        <f t="shared" si="50"/>
        <v>218</v>
      </c>
      <c r="G324">
        <f t="shared" si="51"/>
        <v>80.2</v>
      </c>
      <c r="H324" t="str">
        <f t="shared" si="53"/>
        <v>壤土</v>
      </c>
      <c r="N324" t="str">
        <f t="shared" si="52"/>
        <v>2环</v>
      </c>
      <c r="O324">
        <v>20</v>
      </c>
      <c r="P324">
        <v>500</v>
      </c>
      <c r="Q324">
        <v>23</v>
      </c>
      <c r="R324">
        <v>2</v>
      </c>
      <c r="S324">
        <v>0.84799999999999998</v>
      </c>
    </row>
    <row r="325" spans="1:19" x14ac:dyDescent="0.25">
      <c r="A325">
        <f t="shared" si="46"/>
        <v>1013</v>
      </c>
      <c r="B325">
        <f t="shared" si="47"/>
        <v>1</v>
      </c>
      <c r="C325" t="str">
        <f t="shared" si="48"/>
        <v>萘</v>
      </c>
      <c r="D325">
        <f t="shared" si="45"/>
        <v>3.3</v>
      </c>
      <c r="E325">
        <v>31.7</v>
      </c>
      <c r="F325">
        <f t="shared" si="50"/>
        <v>218</v>
      </c>
      <c r="G325">
        <f t="shared" si="51"/>
        <v>80.2</v>
      </c>
      <c r="H325" t="str">
        <f t="shared" si="53"/>
        <v>壤土</v>
      </c>
      <c r="N325" t="str">
        <f t="shared" si="52"/>
        <v>2环</v>
      </c>
      <c r="O325">
        <v>20</v>
      </c>
      <c r="P325">
        <v>500</v>
      </c>
      <c r="Q325">
        <v>23</v>
      </c>
      <c r="R325">
        <v>7</v>
      </c>
      <c r="S325">
        <v>0.92</v>
      </c>
    </row>
    <row r="326" spans="1:19" x14ac:dyDescent="0.25">
      <c r="A326">
        <f t="shared" si="46"/>
        <v>1013</v>
      </c>
      <c r="B326">
        <f t="shared" si="47"/>
        <v>1</v>
      </c>
      <c r="C326" t="str">
        <f t="shared" si="48"/>
        <v>萘</v>
      </c>
      <c r="D326">
        <f t="shared" si="45"/>
        <v>3.3</v>
      </c>
      <c r="E326">
        <f t="shared" si="49"/>
        <v>31.7</v>
      </c>
      <c r="F326">
        <f t="shared" si="50"/>
        <v>218</v>
      </c>
      <c r="G326">
        <f t="shared" si="51"/>
        <v>80.2</v>
      </c>
      <c r="H326" t="str">
        <f t="shared" si="53"/>
        <v>壤土</v>
      </c>
      <c r="N326" t="str">
        <f t="shared" si="52"/>
        <v>2环</v>
      </c>
      <c r="O326">
        <v>20</v>
      </c>
      <c r="P326">
        <v>500</v>
      </c>
      <c r="Q326">
        <v>23</v>
      </c>
      <c r="R326">
        <v>20</v>
      </c>
      <c r="S326">
        <v>0.97699999999999998</v>
      </c>
    </row>
    <row r="327" spans="1:19" x14ac:dyDescent="0.25">
      <c r="A327">
        <v>1013</v>
      </c>
      <c r="B327">
        <v>2</v>
      </c>
      <c r="C327" t="s">
        <v>26</v>
      </c>
      <c r="D327">
        <v>3.3</v>
      </c>
      <c r="E327">
        <v>31.7</v>
      </c>
      <c r="F327">
        <v>218</v>
      </c>
      <c r="G327">
        <v>80.2</v>
      </c>
      <c r="H327" t="str">
        <f t="shared" si="53"/>
        <v>壤土</v>
      </c>
      <c r="I327" t="s">
        <v>22</v>
      </c>
      <c r="J327" t="s">
        <v>22</v>
      </c>
      <c r="K327" t="s">
        <v>22</v>
      </c>
      <c r="L327" t="s">
        <v>22</v>
      </c>
      <c r="M327" t="s">
        <v>22</v>
      </c>
      <c r="N327" t="s">
        <v>27</v>
      </c>
      <c r="O327">
        <v>30</v>
      </c>
      <c r="P327">
        <v>500</v>
      </c>
      <c r="Q327">
        <v>23</v>
      </c>
      <c r="R327">
        <v>20</v>
      </c>
      <c r="S327">
        <v>0.82540000000000002</v>
      </c>
    </row>
    <row r="328" spans="1:19" x14ac:dyDescent="0.25">
      <c r="A328">
        <v>1013</v>
      </c>
      <c r="B328">
        <v>2</v>
      </c>
      <c r="C328" t="s">
        <v>34</v>
      </c>
      <c r="D328">
        <v>4.18</v>
      </c>
      <c r="E328">
        <v>1.68</v>
      </c>
      <c r="F328">
        <v>295</v>
      </c>
      <c r="G328">
        <v>116</v>
      </c>
      <c r="H328" t="str">
        <f t="shared" si="53"/>
        <v>壤土</v>
      </c>
      <c r="I328" t="s">
        <v>22</v>
      </c>
      <c r="J328" t="s">
        <v>22</v>
      </c>
      <c r="K328" t="s">
        <v>22</v>
      </c>
      <c r="L328" t="s">
        <v>22</v>
      </c>
      <c r="M328" t="s">
        <v>22</v>
      </c>
      <c r="N328" t="s">
        <v>29</v>
      </c>
      <c r="O328">
        <v>30</v>
      </c>
      <c r="P328">
        <v>500</v>
      </c>
      <c r="Q328">
        <v>23</v>
      </c>
      <c r="R328">
        <v>20</v>
      </c>
      <c r="S328">
        <v>0.66690000000000005</v>
      </c>
    </row>
    <row r="329" spans="1:19" x14ac:dyDescent="0.25">
      <c r="A329">
        <v>1013</v>
      </c>
      <c r="B329">
        <v>2</v>
      </c>
      <c r="C329" t="s">
        <v>28</v>
      </c>
      <c r="D329">
        <v>4.57</v>
      </c>
      <c r="E329">
        <v>1.1000000000000001</v>
      </c>
      <c r="F329">
        <v>340</v>
      </c>
      <c r="G329">
        <v>101</v>
      </c>
      <c r="H329" t="str">
        <f t="shared" si="53"/>
        <v>壤土</v>
      </c>
      <c r="I329" t="s">
        <v>22</v>
      </c>
      <c r="J329" t="s">
        <v>22</v>
      </c>
      <c r="K329" t="s">
        <v>22</v>
      </c>
      <c r="L329" t="s">
        <v>22</v>
      </c>
      <c r="M329" t="s">
        <v>22</v>
      </c>
      <c r="N329" t="s">
        <v>38</v>
      </c>
      <c r="O329">
        <v>30</v>
      </c>
      <c r="P329">
        <v>500</v>
      </c>
      <c r="Q329">
        <v>23</v>
      </c>
      <c r="R329">
        <v>20</v>
      </c>
      <c r="S329">
        <v>1</v>
      </c>
    </row>
    <row r="330" spans="1:19" x14ac:dyDescent="0.25">
      <c r="A330">
        <v>1013</v>
      </c>
      <c r="B330">
        <v>2</v>
      </c>
      <c r="C330" t="s">
        <v>35</v>
      </c>
      <c r="D330">
        <v>5.18</v>
      </c>
      <c r="E330">
        <v>0.13200000000000001</v>
      </c>
      <c r="F330">
        <v>393</v>
      </c>
      <c r="G330">
        <v>150</v>
      </c>
      <c r="H330" t="str">
        <f t="shared" si="53"/>
        <v>壤土</v>
      </c>
      <c r="I330" t="s">
        <v>22</v>
      </c>
      <c r="J330" t="s">
        <v>22</v>
      </c>
      <c r="K330" t="s">
        <v>22</v>
      </c>
      <c r="L330" t="s">
        <v>22</v>
      </c>
      <c r="M330" t="s">
        <v>22</v>
      </c>
      <c r="N330" t="s">
        <v>32</v>
      </c>
      <c r="O330">
        <v>30</v>
      </c>
      <c r="P330">
        <v>500</v>
      </c>
      <c r="Q330">
        <v>23</v>
      </c>
      <c r="R330">
        <v>20</v>
      </c>
      <c r="S330">
        <v>0.44900000000000001</v>
      </c>
    </row>
    <row r="331" spans="1:19" x14ac:dyDescent="0.25">
      <c r="A331">
        <v>1013</v>
      </c>
      <c r="B331">
        <v>2</v>
      </c>
      <c r="C331" t="s">
        <v>46</v>
      </c>
      <c r="D331">
        <v>3.38</v>
      </c>
      <c r="E331">
        <v>22.5</v>
      </c>
      <c r="F331">
        <v>218</v>
      </c>
      <c r="G331">
        <v>53.5</v>
      </c>
      <c r="H331" t="str">
        <f t="shared" si="53"/>
        <v>壤土</v>
      </c>
      <c r="I331" t="s">
        <v>22</v>
      </c>
      <c r="J331" t="s">
        <v>22</v>
      </c>
      <c r="K331" t="s">
        <v>22</v>
      </c>
      <c r="L331" t="s">
        <v>22</v>
      </c>
      <c r="M331" t="s">
        <v>22</v>
      </c>
      <c r="N331" t="s">
        <v>27</v>
      </c>
      <c r="O331">
        <v>30</v>
      </c>
      <c r="P331">
        <v>500</v>
      </c>
      <c r="Q331">
        <v>23</v>
      </c>
      <c r="R331">
        <v>20</v>
      </c>
      <c r="S331">
        <v>1</v>
      </c>
    </row>
    <row r="332" spans="1:19" x14ac:dyDescent="0.25">
      <c r="A332">
        <v>1013</v>
      </c>
      <c r="B332">
        <v>3</v>
      </c>
      <c r="C332" t="s">
        <v>26</v>
      </c>
      <c r="D332">
        <v>3.3</v>
      </c>
      <c r="E332">
        <v>31.7</v>
      </c>
      <c r="F332">
        <v>218</v>
      </c>
      <c r="G332">
        <v>80.2</v>
      </c>
      <c r="H332" t="str">
        <f t="shared" si="53"/>
        <v>壤土</v>
      </c>
      <c r="I332" t="s">
        <v>22</v>
      </c>
      <c r="J332" t="s">
        <v>22</v>
      </c>
      <c r="K332" t="s">
        <v>22</v>
      </c>
      <c r="L332" t="s">
        <v>22</v>
      </c>
      <c r="M332" t="s">
        <v>22</v>
      </c>
      <c r="N332" t="s">
        <v>27</v>
      </c>
      <c r="O332">
        <v>30</v>
      </c>
      <c r="P332">
        <v>500</v>
      </c>
      <c r="Q332">
        <v>23</v>
      </c>
      <c r="R332">
        <v>20</v>
      </c>
      <c r="S332">
        <v>0.08</v>
      </c>
    </row>
    <row r="333" spans="1:19" x14ac:dyDescent="0.25">
      <c r="A333">
        <v>1013</v>
      </c>
      <c r="B333">
        <v>3</v>
      </c>
      <c r="C333" t="s">
        <v>28</v>
      </c>
      <c r="D333">
        <v>4.57</v>
      </c>
      <c r="E333">
        <v>1.1000000000000001</v>
      </c>
      <c r="F333">
        <v>340</v>
      </c>
      <c r="G333">
        <v>101</v>
      </c>
      <c r="H333" t="str">
        <f t="shared" si="53"/>
        <v>壤土</v>
      </c>
      <c r="I333" t="s">
        <v>22</v>
      </c>
      <c r="J333" t="s">
        <v>22</v>
      </c>
      <c r="K333" t="s">
        <v>22</v>
      </c>
      <c r="L333" t="s">
        <v>22</v>
      </c>
      <c r="M333" t="s">
        <v>22</v>
      </c>
      <c r="N333" t="s">
        <v>29</v>
      </c>
      <c r="O333">
        <v>30</v>
      </c>
      <c r="P333">
        <v>500</v>
      </c>
      <c r="Q333">
        <v>23</v>
      </c>
      <c r="R333">
        <v>20</v>
      </c>
      <c r="S333">
        <v>0.05</v>
      </c>
    </row>
    <row r="334" spans="1:19" x14ac:dyDescent="0.25">
      <c r="A334">
        <v>1013</v>
      </c>
      <c r="B334">
        <v>3</v>
      </c>
      <c r="C334" t="s">
        <v>46</v>
      </c>
      <c r="D334">
        <v>3.38</v>
      </c>
      <c r="E334">
        <v>22.5</v>
      </c>
      <c r="F334">
        <v>218</v>
      </c>
      <c r="G334">
        <v>53.5</v>
      </c>
      <c r="H334" t="str">
        <f t="shared" si="53"/>
        <v>壤土</v>
      </c>
      <c r="I334" t="s">
        <v>22</v>
      </c>
      <c r="J334" t="s">
        <v>22</v>
      </c>
      <c r="K334" t="s">
        <v>22</v>
      </c>
      <c r="L334" t="s">
        <v>22</v>
      </c>
      <c r="M334" t="s">
        <v>22</v>
      </c>
      <c r="N334" t="s">
        <v>27</v>
      </c>
      <c r="O334">
        <v>30</v>
      </c>
      <c r="P334">
        <v>500</v>
      </c>
      <c r="Q334">
        <v>23</v>
      </c>
      <c r="R334">
        <v>20</v>
      </c>
      <c r="S334">
        <v>0.06</v>
      </c>
    </row>
    <row r="335" spans="1:19" x14ac:dyDescent="0.25">
      <c r="A335">
        <v>1013</v>
      </c>
      <c r="B335">
        <v>3</v>
      </c>
      <c r="C335" t="s">
        <v>26</v>
      </c>
      <c r="D335">
        <v>3.3</v>
      </c>
      <c r="E335">
        <v>31.7</v>
      </c>
      <c r="F335">
        <v>218</v>
      </c>
      <c r="G335">
        <v>80.2</v>
      </c>
      <c r="H335" t="str">
        <f t="shared" si="53"/>
        <v>壤土</v>
      </c>
      <c r="I335" t="s">
        <v>22</v>
      </c>
      <c r="J335" t="s">
        <v>22</v>
      </c>
      <c r="K335" t="s">
        <v>22</v>
      </c>
      <c r="L335" t="s">
        <v>22</v>
      </c>
      <c r="M335" t="s">
        <v>22</v>
      </c>
      <c r="N335" t="s">
        <v>27</v>
      </c>
      <c r="O335">
        <v>30</v>
      </c>
      <c r="P335">
        <v>500</v>
      </c>
      <c r="Q335">
        <v>23</v>
      </c>
      <c r="R335">
        <v>20</v>
      </c>
      <c r="S335">
        <v>0.79630000000000001</v>
      </c>
    </row>
    <row r="336" spans="1:19" x14ac:dyDescent="0.25">
      <c r="A336">
        <v>1013</v>
      </c>
      <c r="B336">
        <v>3</v>
      </c>
      <c r="C336" t="s">
        <v>34</v>
      </c>
      <c r="D336">
        <v>4.18</v>
      </c>
      <c r="E336">
        <v>1.68</v>
      </c>
      <c r="F336">
        <v>295</v>
      </c>
      <c r="G336">
        <v>116</v>
      </c>
      <c r="H336" t="str">
        <f t="shared" si="53"/>
        <v>壤土</v>
      </c>
      <c r="I336" t="s">
        <v>22</v>
      </c>
      <c r="J336" t="s">
        <v>22</v>
      </c>
      <c r="K336" t="s">
        <v>22</v>
      </c>
      <c r="L336" t="s">
        <v>22</v>
      </c>
      <c r="M336" t="s">
        <v>22</v>
      </c>
      <c r="N336" t="s">
        <v>29</v>
      </c>
      <c r="O336">
        <v>30</v>
      </c>
      <c r="P336">
        <v>500</v>
      </c>
      <c r="Q336">
        <v>23</v>
      </c>
      <c r="R336">
        <v>20</v>
      </c>
      <c r="S336">
        <v>0.09</v>
      </c>
    </row>
    <row r="337" spans="1:19" x14ac:dyDescent="0.25">
      <c r="A337">
        <v>1013</v>
      </c>
      <c r="B337">
        <v>3</v>
      </c>
      <c r="C337" t="s">
        <v>28</v>
      </c>
      <c r="D337">
        <v>4.57</v>
      </c>
      <c r="E337">
        <v>1.1000000000000001</v>
      </c>
      <c r="F337">
        <v>340</v>
      </c>
      <c r="G337">
        <v>101</v>
      </c>
      <c r="H337" t="str">
        <f t="shared" si="53"/>
        <v>壤土</v>
      </c>
      <c r="I337" t="s">
        <v>22</v>
      </c>
      <c r="J337" t="s">
        <v>22</v>
      </c>
      <c r="K337" t="s">
        <v>22</v>
      </c>
      <c r="L337" t="s">
        <v>22</v>
      </c>
      <c r="M337" t="s">
        <v>22</v>
      </c>
      <c r="N337" t="s">
        <v>29</v>
      </c>
      <c r="O337">
        <v>30</v>
      </c>
      <c r="P337">
        <v>500</v>
      </c>
      <c r="Q337">
        <v>23</v>
      </c>
      <c r="R337">
        <v>20</v>
      </c>
      <c r="S337">
        <v>0.71</v>
      </c>
    </row>
    <row r="338" spans="1:19" x14ac:dyDescent="0.25">
      <c r="A338">
        <v>1013</v>
      </c>
      <c r="B338">
        <v>3</v>
      </c>
      <c r="C338" t="s">
        <v>35</v>
      </c>
      <c r="D338">
        <v>5.18</v>
      </c>
      <c r="E338">
        <v>0.13200000000000001</v>
      </c>
      <c r="F338">
        <v>393</v>
      </c>
      <c r="G338">
        <v>150</v>
      </c>
      <c r="H338" t="str">
        <f t="shared" si="53"/>
        <v>壤土</v>
      </c>
      <c r="I338" t="s">
        <v>22</v>
      </c>
      <c r="J338" t="s">
        <v>22</v>
      </c>
      <c r="K338" t="s">
        <v>22</v>
      </c>
      <c r="L338" t="s">
        <v>22</v>
      </c>
      <c r="M338" t="s">
        <v>22</v>
      </c>
      <c r="N338" t="s">
        <v>32</v>
      </c>
      <c r="O338">
        <v>30</v>
      </c>
      <c r="P338">
        <v>500</v>
      </c>
      <c r="Q338">
        <v>23</v>
      </c>
      <c r="R338">
        <v>20</v>
      </c>
      <c r="S338">
        <v>0.1</v>
      </c>
    </row>
    <row r="339" spans="1:19" x14ac:dyDescent="0.25">
      <c r="A339">
        <v>1013</v>
      </c>
      <c r="B339">
        <v>3</v>
      </c>
      <c r="C339" t="s">
        <v>46</v>
      </c>
      <c r="D339">
        <v>3.38</v>
      </c>
      <c r="E339">
        <v>22.5</v>
      </c>
      <c r="F339">
        <v>218</v>
      </c>
      <c r="G339">
        <v>53.5</v>
      </c>
      <c r="H339" t="str">
        <f t="shared" si="53"/>
        <v>壤土</v>
      </c>
      <c r="I339" t="s">
        <v>22</v>
      </c>
      <c r="J339" t="s">
        <v>22</v>
      </c>
      <c r="K339" t="s">
        <v>22</v>
      </c>
      <c r="L339" t="s">
        <v>22</v>
      </c>
      <c r="M339" t="s">
        <v>22</v>
      </c>
      <c r="N339" t="s">
        <v>27</v>
      </c>
      <c r="O339">
        <v>30</v>
      </c>
      <c r="P339">
        <v>500</v>
      </c>
      <c r="Q339">
        <v>23</v>
      </c>
      <c r="R339">
        <v>20</v>
      </c>
      <c r="S339">
        <v>1</v>
      </c>
    </row>
    <row r="340" spans="1:19" x14ac:dyDescent="0.25">
      <c r="A340">
        <v>1014</v>
      </c>
      <c r="B340">
        <v>1</v>
      </c>
      <c r="C340" t="s">
        <v>47</v>
      </c>
      <c r="D340">
        <v>3.92</v>
      </c>
      <c r="E340">
        <v>3.93</v>
      </c>
      <c r="F340">
        <v>277</v>
      </c>
      <c r="G340">
        <v>95</v>
      </c>
      <c r="H340" t="str">
        <f t="shared" si="53"/>
        <v>壤土</v>
      </c>
      <c r="I340" t="s">
        <v>22</v>
      </c>
      <c r="J340" t="s">
        <v>22</v>
      </c>
      <c r="K340" t="s">
        <v>22</v>
      </c>
      <c r="L340" t="s">
        <v>22</v>
      </c>
      <c r="M340" t="s">
        <v>22</v>
      </c>
      <c r="N340" t="s">
        <v>29</v>
      </c>
      <c r="O340" t="s">
        <v>22</v>
      </c>
      <c r="P340">
        <v>200</v>
      </c>
      <c r="Q340">
        <v>27</v>
      </c>
      <c r="R340">
        <v>10</v>
      </c>
      <c r="S340">
        <v>0.3</v>
      </c>
    </row>
    <row r="341" spans="1:19" x14ac:dyDescent="0.25">
      <c r="A341">
        <v>1014</v>
      </c>
      <c r="B341">
        <v>1</v>
      </c>
      <c r="C341" t="s">
        <v>47</v>
      </c>
      <c r="D341">
        <v>3.92</v>
      </c>
      <c r="E341">
        <v>3.93</v>
      </c>
      <c r="F341">
        <v>277</v>
      </c>
      <c r="G341">
        <v>95</v>
      </c>
      <c r="H341" t="str">
        <f t="shared" ref="H341:H351" si="54">H340</f>
        <v>壤土</v>
      </c>
      <c r="I341" t="s">
        <v>22</v>
      </c>
      <c r="J341" t="s">
        <v>22</v>
      </c>
      <c r="K341" t="s">
        <v>22</v>
      </c>
      <c r="L341" t="s">
        <v>22</v>
      </c>
      <c r="M341" t="s">
        <v>22</v>
      </c>
      <c r="N341" t="s">
        <v>29</v>
      </c>
      <c r="O341" t="s">
        <v>22</v>
      </c>
      <c r="P341">
        <f>P340</f>
        <v>200</v>
      </c>
      <c r="Q341">
        <v>27</v>
      </c>
      <c r="R341">
        <v>20</v>
      </c>
      <c r="S341">
        <v>0.39800000000000002</v>
      </c>
    </row>
    <row r="342" spans="1:19" x14ac:dyDescent="0.25">
      <c r="A342">
        <v>1014</v>
      </c>
      <c r="B342">
        <v>1</v>
      </c>
      <c r="C342" t="s">
        <v>47</v>
      </c>
      <c r="D342">
        <v>3.92</v>
      </c>
      <c r="E342">
        <v>3.93</v>
      </c>
      <c r="F342">
        <v>277</v>
      </c>
      <c r="G342">
        <v>95</v>
      </c>
      <c r="H342" t="str">
        <f t="shared" si="54"/>
        <v>壤土</v>
      </c>
      <c r="I342" t="s">
        <v>22</v>
      </c>
      <c r="J342" t="s">
        <v>22</v>
      </c>
      <c r="K342" t="s">
        <v>22</v>
      </c>
      <c r="L342" t="s">
        <v>22</v>
      </c>
      <c r="M342" t="s">
        <v>22</v>
      </c>
      <c r="N342" t="s">
        <v>29</v>
      </c>
      <c r="O342" t="s">
        <v>22</v>
      </c>
      <c r="P342">
        <f t="shared" ref="P342:P351" si="55">P341</f>
        <v>200</v>
      </c>
      <c r="Q342">
        <v>27</v>
      </c>
      <c r="R342">
        <v>30</v>
      </c>
      <c r="S342">
        <v>0.72799999999999998</v>
      </c>
    </row>
    <row r="343" spans="1:19" x14ac:dyDescent="0.25">
      <c r="A343">
        <v>1014</v>
      </c>
      <c r="B343">
        <v>1</v>
      </c>
      <c r="C343" t="s">
        <v>30</v>
      </c>
      <c r="D343">
        <v>4.88</v>
      </c>
      <c r="E343">
        <v>7.2999999999999995E-2</v>
      </c>
      <c r="F343">
        <v>340</v>
      </c>
      <c r="G343">
        <v>216</v>
      </c>
      <c r="H343" t="str">
        <f t="shared" si="54"/>
        <v>壤土</v>
      </c>
      <c r="I343" t="s">
        <v>22</v>
      </c>
      <c r="J343" t="s">
        <v>22</v>
      </c>
      <c r="K343" t="s">
        <v>22</v>
      </c>
      <c r="L343" t="s">
        <v>22</v>
      </c>
      <c r="M343" t="s">
        <v>22</v>
      </c>
      <c r="N343" t="s">
        <v>29</v>
      </c>
      <c r="O343" t="s">
        <v>22</v>
      </c>
      <c r="P343">
        <f t="shared" si="55"/>
        <v>200</v>
      </c>
      <c r="Q343">
        <v>27</v>
      </c>
      <c r="R343">
        <v>10</v>
      </c>
      <c r="S343">
        <v>0.193</v>
      </c>
    </row>
    <row r="344" spans="1:19" x14ac:dyDescent="0.25">
      <c r="A344">
        <v>1014</v>
      </c>
      <c r="B344">
        <v>1</v>
      </c>
      <c r="C344" t="s">
        <v>30</v>
      </c>
      <c r="D344">
        <v>4.88</v>
      </c>
      <c r="E344">
        <v>7.2999999999999995E-2</v>
      </c>
      <c r="F344">
        <v>340</v>
      </c>
      <c r="G344">
        <v>216</v>
      </c>
      <c r="H344" t="str">
        <f t="shared" si="54"/>
        <v>壤土</v>
      </c>
      <c r="I344" t="s">
        <v>22</v>
      </c>
      <c r="J344" t="s">
        <v>22</v>
      </c>
      <c r="K344" t="s">
        <v>22</v>
      </c>
      <c r="L344" t="s">
        <v>22</v>
      </c>
      <c r="M344" t="s">
        <v>22</v>
      </c>
      <c r="N344" t="s">
        <v>29</v>
      </c>
      <c r="O344" t="s">
        <v>22</v>
      </c>
      <c r="P344">
        <f t="shared" si="55"/>
        <v>200</v>
      </c>
      <c r="Q344">
        <v>27</v>
      </c>
      <c r="R344">
        <v>20</v>
      </c>
      <c r="S344">
        <v>0.27</v>
      </c>
    </row>
    <row r="345" spans="1:19" x14ac:dyDescent="0.25">
      <c r="A345">
        <v>1014</v>
      </c>
      <c r="B345">
        <v>1</v>
      </c>
      <c r="C345" t="s">
        <v>30</v>
      </c>
      <c r="D345">
        <v>4.88</v>
      </c>
      <c r="E345">
        <v>7.2999999999999995E-2</v>
      </c>
      <c r="F345">
        <v>340</v>
      </c>
      <c r="G345">
        <v>216</v>
      </c>
      <c r="H345" t="str">
        <f t="shared" si="54"/>
        <v>壤土</v>
      </c>
      <c r="I345" t="s">
        <v>22</v>
      </c>
      <c r="J345" t="s">
        <v>22</v>
      </c>
      <c r="K345" t="s">
        <v>22</v>
      </c>
      <c r="L345" t="s">
        <v>22</v>
      </c>
      <c r="M345" t="s">
        <v>22</v>
      </c>
      <c r="N345" t="s">
        <v>29</v>
      </c>
      <c r="O345" t="s">
        <v>22</v>
      </c>
      <c r="P345">
        <f t="shared" si="55"/>
        <v>200</v>
      </c>
      <c r="Q345">
        <v>27</v>
      </c>
      <c r="R345">
        <v>30</v>
      </c>
      <c r="S345">
        <v>0.65</v>
      </c>
    </row>
    <row r="346" spans="1:19" x14ac:dyDescent="0.25">
      <c r="A346">
        <v>1014</v>
      </c>
      <c r="B346">
        <v>1</v>
      </c>
      <c r="C346" t="s">
        <v>31</v>
      </c>
      <c r="D346">
        <v>5.22</v>
      </c>
      <c r="E346">
        <v>0.26</v>
      </c>
      <c r="F346">
        <v>375</v>
      </c>
      <c r="G346">
        <v>111</v>
      </c>
      <c r="H346" t="str">
        <f t="shared" si="54"/>
        <v>壤土</v>
      </c>
      <c r="I346" t="s">
        <v>22</v>
      </c>
      <c r="J346" t="s">
        <v>22</v>
      </c>
      <c r="K346" t="s">
        <v>22</v>
      </c>
      <c r="L346" t="s">
        <v>22</v>
      </c>
      <c r="M346" t="s">
        <v>22</v>
      </c>
      <c r="N346" t="s">
        <v>32</v>
      </c>
      <c r="O346" t="s">
        <v>22</v>
      </c>
      <c r="P346">
        <f t="shared" si="55"/>
        <v>200</v>
      </c>
      <c r="Q346">
        <v>27</v>
      </c>
      <c r="R346">
        <v>10</v>
      </c>
      <c r="S346">
        <v>0.57999999999999996</v>
      </c>
    </row>
    <row r="347" spans="1:19" x14ac:dyDescent="0.25">
      <c r="A347">
        <v>1014</v>
      </c>
      <c r="B347">
        <v>1</v>
      </c>
      <c r="C347" t="s">
        <v>31</v>
      </c>
      <c r="D347">
        <v>5.22</v>
      </c>
      <c r="E347">
        <v>0.26</v>
      </c>
      <c r="F347">
        <v>375</v>
      </c>
      <c r="G347">
        <v>111</v>
      </c>
      <c r="H347" t="str">
        <f t="shared" si="54"/>
        <v>壤土</v>
      </c>
      <c r="I347" t="s">
        <v>22</v>
      </c>
      <c r="J347" t="s">
        <v>22</v>
      </c>
      <c r="K347" t="s">
        <v>22</v>
      </c>
      <c r="L347" t="s">
        <v>22</v>
      </c>
      <c r="M347" t="s">
        <v>22</v>
      </c>
      <c r="N347" t="s">
        <v>32</v>
      </c>
      <c r="O347" t="s">
        <v>22</v>
      </c>
      <c r="P347">
        <f t="shared" si="55"/>
        <v>200</v>
      </c>
      <c r="Q347">
        <v>27</v>
      </c>
      <c r="R347">
        <v>20</v>
      </c>
      <c r="S347">
        <v>0.61799999999999999</v>
      </c>
    </row>
    <row r="348" spans="1:19" x14ac:dyDescent="0.25">
      <c r="A348">
        <v>1014</v>
      </c>
      <c r="B348">
        <v>1</v>
      </c>
      <c r="C348" t="s">
        <v>31</v>
      </c>
      <c r="D348">
        <v>5.22</v>
      </c>
      <c r="E348">
        <v>0.26</v>
      </c>
      <c r="F348">
        <v>375</v>
      </c>
      <c r="G348">
        <v>111</v>
      </c>
      <c r="H348" t="str">
        <f t="shared" si="54"/>
        <v>壤土</v>
      </c>
      <c r="I348" t="s">
        <v>22</v>
      </c>
      <c r="J348" t="s">
        <v>22</v>
      </c>
      <c r="K348" t="s">
        <v>22</v>
      </c>
      <c r="L348" t="s">
        <v>22</v>
      </c>
      <c r="M348" t="s">
        <v>22</v>
      </c>
      <c r="N348" t="s">
        <v>32</v>
      </c>
      <c r="O348" t="s">
        <v>22</v>
      </c>
      <c r="P348">
        <f t="shared" si="55"/>
        <v>200</v>
      </c>
      <c r="Q348">
        <v>27</v>
      </c>
      <c r="R348">
        <v>30</v>
      </c>
      <c r="S348">
        <v>0.60899999999999999</v>
      </c>
    </row>
    <row r="349" spans="1:19" x14ac:dyDescent="0.25">
      <c r="A349">
        <v>1014</v>
      </c>
      <c r="B349">
        <v>1</v>
      </c>
      <c r="C349" t="s">
        <v>34</v>
      </c>
      <c r="D349">
        <v>4.18</v>
      </c>
      <c r="E349">
        <v>1.68</v>
      </c>
      <c r="F349">
        <v>295</v>
      </c>
      <c r="G349">
        <v>116</v>
      </c>
      <c r="H349" t="str">
        <f t="shared" si="54"/>
        <v>壤土</v>
      </c>
      <c r="I349" t="s">
        <v>22</v>
      </c>
      <c r="J349" t="s">
        <v>22</v>
      </c>
      <c r="K349" t="s">
        <v>22</v>
      </c>
      <c r="L349" t="s">
        <v>22</v>
      </c>
      <c r="M349" t="s">
        <v>22</v>
      </c>
      <c r="N349" t="s">
        <v>29</v>
      </c>
      <c r="O349" t="s">
        <v>22</v>
      </c>
      <c r="P349">
        <f t="shared" si="55"/>
        <v>200</v>
      </c>
      <c r="Q349">
        <v>27</v>
      </c>
      <c r="R349">
        <v>10</v>
      </c>
      <c r="S349">
        <v>0.35</v>
      </c>
    </row>
    <row r="350" spans="1:19" x14ac:dyDescent="0.25">
      <c r="A350">
        <v>1014</v>
      </c>
      <c r="B350">
        <v>1</v>
      </c>
      <c r="C350" t="s">
        <v>34</v>
      </c>
      <c r="D350">
        <v>4.18</v>
      </c>
      <c r="E350">
        <v>1.68</v>
      </c>
      <c r="F350">
        <v>295</v>
      </c>
      <c r="G350">
        <v>116</v>
      </c>
      <c r="H350" t="str">
        <f t="shared" si="54"/>
        <v>壤土</v>
      </c>
      <c r="I350" t="s">
        <v>22</v>
      </c>
      <c r="J350" t="s">
        <v>22</v>
      </c>
      <c r="K350" t="s">
        <v>22</v>
      </c>
      <c r="L350" t="s">
        <v>22</v>
      </c>
      <c r="M350" t="s">
        <v>22</v>
      </c>
      <c r="N350" t="s">
        <v>29</v>
      </c>
      <c r="O350" t="s">
        <v>22</v>
      </c>
      <c r="P350">
        <f t="shared" si="55"/>
        <v>200</v>
      </c>
      <c r="Q350">
        <v>27</v>
      </c>
      <c r="R350">
        <v>20</v>
      </c>
      <c r="S350">
        <v>0.45</v>
      </c>
    </row>
    <row r="351" spans="1:19" x14ac:dyDescent="0.25">
      <c r="A351">
        <v>1014</v>
      </c>
      <c r="B351">
        <v>1</v>
      </c>
      <c r="C351" t="s">
        <v>34</v>
      </c>
      <c r="D351">
        <v>4.18</v>
      </c>
      <c r="E351">
        <v>1.68</v>
      </c>
      <c r="F351">
        <v>295</v>
      </c>
      <c r="G351">
        <v>116</v>
      </c>
      <c r="H351" t="str">
        <f t="shared" si="54"/>
        <v>壤土</v>
      </c>
      <c r="I351" t="s">
        <v>22</v>
      </c>
      <c r="J351" t="s">
        <v>22</v>
      </c>
      <c r="K351" t="s">
        <v>22</v>
      </c>
      <c r="L351" t="s">
        <v>22</v>
      </c>
      <c r="M351" t="s">
        <v>22</v>
      </c>
      <c r="N351" t="s">
        <v>29</v>
      </c>
      <c r="O351" t="s">
        <v>22</v>
      </c>
      <c r="P351">
        <f t="shared" si="55"/>
        <v>200</v>
      </c>
      <c r="Q351">
        <v>27</v>
      </c>
      <c r="R351">
        <v>30</v>
      </c>
      <c r="S351">
        <v>0.52500000000000002</v>
      </c>
    </row>
    <row r="352" spans="1:19" x14ac:dyDescent="0.25">
      <c r="A352">
        <v>1015</v>
      </c>
      <c r="B352">
        <v>1</v>
      </c>
      <c r="C352" t="s">
        <v>28</v>
      </c>
      <c r="D352">
        <v>4.57</v>
      </c>
      <c r="E352">
        <v>1.1000000000000001</v>
      </c>
      <c r="F352">
        <v>340</v>
      </c>
      <c r="G352">
        <v>101</v>
      </c>
      <c r="H352" t="str">
        <f t="shared" ref="H352:H376" si="56">H351</f>
        <v>壤土</v>
      </c>
      <c r="I352" t="s">
        <v>22</v>
      </c>
      <c r="J352" t="s">
        <v>22</v>
      </c>
      <c r="K352" t="s">
        <v>22</v>
      </c>
      <c r="L352" t="s">
        <v>22</v>
      </c>
      <c r="M352" t="s">
        <v>22</v>
      </c>
      <c r="N352" t="s">
        <v>29</v>
      </c>
      <c r="O352">
        <v>40</v>
      </c>
      <c r="P352">
        <v>5</v>
      </c>
      <c r="Q352">
        <v>30</v>
      </c>
      <c r="R352">
        <v>5</v>
      </c>
      <c r="S352">
        <v>0.24</v>
      </c>
    </row>
    <row r="353" spans="1:19" x14ac:dyDescent="0.25">
      <c r="A353">
        <v>1015</v>
      </c>
      <c r="B353">
        <v>1</v>
      </c>
      <c r="C353" t="s">
        <v>28</v>
      </c>
      <c r="D353">
        <v>4.57</v>
      </c>
      <c r="E353">
        <v>1.1000000000000001</v>
      </c>
      <c r="F353">
        <v>340</v>
      </c>
      <c r="G353">
        <v>101</v>
      </c>
      <c r="H353" t="str">
        <f t="shared" si="56"/>
        <v>壤土</v>
      </c>
      <c r="I353" t="s">
        <v>22</v>
      </c>
      <c r="J353" t="s">
        <v>22</v>
      </c>
      <c r="K353" t="s">
        <v>22</v>
      </c>
      <c r="L353" t="s">
        <v>22</v>
      </c>
      <c r="M353" t="s">
        <v>22</v>
      </c>
      <c r="N353" t="s">
        <v>29</v>
      </c>
      <c r="O353">
        <v>40</v>
      </c>
      <c r="P353">
        <v>5</v>
      </c>
      <c r="Q353">
        <v>30</v>
      </c>
      <c r="R353">
        <v>10</v>
      </c>
      <c r="S353">
        <v>0.3</v>
      </c>
    </row>
    <row r="354" spans="1:19" x14ac:dyDescent="0.25">
      <c r="A354">
        <v>1015</v>
      </c>
      <c r="B354">
        <v>1</v>
      </c>
      <c r="C354" t="s">
        <v>28</v>
      </c>
      <c r="D354">
        <v>4.57</v>
      </c>
      <c r="E354">
        <v>1.1000000000000001</v>
      </c>
      <c r="F354">
        <v>340</v>
      </c>
      <c r="G354">
        <v>101</v>
      </c>
      <c r="H354" t="str">
        <f t="shared" si="56"/>
        <v>壤土</v>
      </c>
      <c r="I354" t="s">
        <v>22</v>
      </c>
      <c r="J354" t="s">
        <v>22</v>
      </c>
      <c r="K354" t="s">
        <v>22</v>
      </c>
      <c r="L354" t="s">
        <v>22</v>
      </c>
      <c r="M354" t="s">
        <v>22</v>
      </c>
      <c r="N354" t="s">
        <v>29</v>
      </c>
      <c r="O354">
        <v>40</v>
      </c>
      <c r="P354">
        <v>5</v>
      </c>
      <c r="Q354">
        <v>30</v>
      </c>
      <c r="R354">
        <v>15</v>
      </c>
      <c r="S354">
        <v>0.36</v>
      </c>
    </row>
    <row r="355" spans="1:19" x14ac:dyDescent="0.25">
      <c r="A355">
        <v>1015</v>
      </c>
      <c r="B355">
        <v>1</v>
      </c>
      <c r="C355" t="s">
        <v>28</v>
      </c>
      <c r="D355">
        <v>4.57</v>
      </c>
      <c r="E355">
        <v>1.1000000000000001</v>
      </c>
      <c r="F355">
        <v>340</v>
      </c>
      <c r="G355">
        <v>101</v>
      </c>
      <c r="H355" t="str">
        <f t="shared" si="56"/>
        <v>壤土</v>
      </c>
      <c r="I355" t="s">
        <v>22</v>
      </c>
      <c r="J355" t="s">
        <v>22</v>
      </c>
      <c r="K355" t="s">
        <v>22</v>
      </c>
      <c r="L355" t="s">
        <v>22</v>
      </c>
      <c r="M355" t="s">
        <v>22</v>
      </c>
      <c r="N355" t="s">
        <v>29</v>
      </c>
      <c r="O355">
        <v>40</v>
      </c>
      <c r="P355">
        <v>5</v>
      </c>
      <c r="Q355">
        <v>30</v>
      </c>
      <c r="R355">
        <v>20</v>
      </c>
      <c r="S355">
        <v>0.38</v>
      </c>
    </row>
    <row r="356" spans="1:19" x14ac:dyDescent="0.25">
      <c r="A356">
        <v>1015</v>
      </c>
      <c r="B356">
        <v>1</v>
      </c>
      <c r="C356" t="s">
        <v>28</v>
      </c>
      <c r="D356">
        <v>4.57</v>
      </c>
      <c r="E356">
        <v>1.1000000000000001</v>
      </c>
      <c r="F356">
        <v>340</v>
      </c>
      <c r="G356">
        <v>101</v>
      </c>
      <c r="H356" t="str">
        <f t="shared" si="56"/>
        <v>壤土</v>
      </c>
      <c r="I356" t="s">
        <v>22</v>
      </c>
      <c r="J356" t="s">
        <v>22</v>
      </c>
      <c r="K356" t="s">
        <v>22</v>
      </c>
      <c r="L356" t="s">
        <v>22</v>
      </c>
      <c r="M356" t="s">
        <v>22</v>
      </c>
      <c r="N356" t="s">
        <v>29</v>
      </c>
      <c r="O356">
        <v>40</v>
      </c>
      <c r="P356">
        <v>5</v>
      </c>
      <c r="Q356">
        <v>30</v>
      </c>
      <c r="R356">
        <v>25</v>
      </c>
      <c r="S356">
        <v>0.38600000000000001</v>
      </c>
    </row>
    <row r="357" spans="1:19" x14ac:dyDescent="0.25">
      <c r="A357">
        <v>1015</v>
      </c>
      <c r="B357">
        <v>1</v>
      </c>
      <c r="C357" t="s">
        <v>28</v>
      </c>
      <c r="D357">
        <v>4.57</v>
      </c>
      <c r="E357">
        <v>1.1000000000000001</v>
      </c>
      <c r="F357">
        <v>340</v>
      </c>
      <c r="G357">
        <v>101</v>
      </c>
      <c r="H357" t="str">
        <f t="shared" si="56"/>
        <v>壤土</v>
      </c>
      <c r="I357" t="s">
        <v>22</v>
      </c>
      <c r="J357" t="s">
        <v>22</v>
      </c>
      <c r="K357" t="s">
        <v>22</v>
      </c>
      <c r="L357" t="s">
        <v>22</v>
      </c>
      <c r="M357" t="s">
        <v>22</v>
      </c>
      <c r="N357" t="s">
        <v>29</v>
      </c>
      <c r="O357">
        <v>40</v>
      </c>
      <c r="P357">
        <v>5</v>
      </c>
      <c r="Q357">
        <v>30</v>
      </c>
      <c r="R357">
        <v>30</v>
      </c>
      <c r="S357">
        <v>0.39600000000000002</v>
      </c>
    </row>
    <row r="358" spans="1:19" x14ac:dyDescent="0.25">
      <c r="A358">
        <v>1015</v>
      </c>
      <c r="B358">
        <v>1</v>
      </c>
      <c r="C358" t="s">
        <v>28</v>
      </c>
      <c r="D358">
        <v>4.57</v>
      </c>
      <c r="E358">
        <v>1.1000000000000001</v>
      </c>
      <c r="F358">
        <v>340</v>
      </c>
      <c r="G358">
        <v>101</v>
      </c>
      <c r="H358" t="str">
        <f t="shared" si="56"/>
        <v>壤土</v>
      </c>
      <c r="I358" t="s">
        <v>22</v>
      </c>
      <c r="J358" t="s">
        <v>22</v>
      </c>
      <c r="K358" t="s">
        <v>22</v>
      </c>
      <c r="L358" t="s">
        <v>22</v>
      </c>
      <c r="M358" t="s">
        <v>22</v>
      </c>
      <c r="N358" t="s">
        <v>29</v>
      </c>
      <c r="O358">
        <v>40</v>
      </c>
      <c r="P358">
        <v>5</v>
      </c>
      <c r="Q358">
        <v>30</v>
      </c>
      <c r="R358">
        <v>5</v>
      </c>
      <c r="S358">
        <v>0.54</v>
      </c>
    </row>
    <row r="359" spans="1:19" x14ac:dyDescent="0.25">
      <c r="A359">
        <v>1015</v>
      </c>
      <c r="B359">
        <v>1</v>
      </c>
      <c r="C359" t="s">
        <v>28</v>
      </c>
      <c r="D359">
        <v>4.57</v>
      </c>
      <c r="E359">
        <v>1.1000000000000001</v>
      </c>
      <c r="F359">
        <v>340</v>
      </c>
      <c r="G359">
        <v>101</v>
      </c>
      <c r="H359" t="str">
        <f t="shared" si="56"/>
        <v>壤土</v>
      </c>
      <c r="I359" t="s">
        <v>22</v>
      </c>
      <c r="J359" t="s">
        <v>22</v>
      </c>
      <c r="K359" t="s">
        <v>22</v>
      </c>
      <c r="L359" t="s">
        <v>22</v>
      </c>
      <c r="M359" t="s">
        <v>22</v>
      </c>
      <c r="N359" t="s">
        <v>29</v>
      </c>
      <c r="O359">
        <v>40</v>
      </c>
      <c r="P359">
        <v>5</v>
      </c>
      <c r="Q359">
        <v>30</v>
      </c>
      <c r="R359">
        <v>10</v>
      </c>
      <c r="S359">
        <v>0.66</v>
      </c>
    </row>
    <row r="360" spans="1:19" x14ac:dyDescent="0.25">
      <c r="A360">
        <v>1015</v>
      </c>
      <c r="B360">
        <v>1</v>
      </c>
      <c r="C360" t="s">
        <v>28</v>
      </c>
      <c r="D360">
        <v>4.57</v>
      </c>
      <c r="E360">
        <v>1.1000000000000001</v>
      </c>
      <c r="F360">
        <v>340</v>
      </c>
      <c r="G360">
        <v>101</v>
      </c>
      <c r="H360" t="str">
        <f t="shared" si="56"/>
        <v>壤土</v>
      </c>
      <c r="I360" t="s">
        <v>22</v>
      </c>
      <c r="J360" t="s">
        <v>22</v>
      </c>
      <c r="K360" t="s">
        <v>22</v>
      </c>
      <c r="L360" t="s">
        <v>22</v>
      </c>
      <c r="M360" t="s">
        <v>22</v>
      </c>
      <c r="N360" t="s">
        <v>29</v>
      </c>
      <c r="O360">
        <v>40</v>
      </c>
      <c r="P360">
        <v>5</v>
      </c>
      <c r="Q360">
        <v>30</v>
      </c>
      <c r="R360">
        <v>15</v>
      </c>
      <c r="S360">
        <v>0.78</v>
      </c>
    </row>
    <row r="361" spans="1:19" x14ac:dyDescent="0.25">
      <c r="A361">
        <v>1015</v>
      </c>
      <c r="B361">
        <v>1</v>
      </c>
      <c r="C361" t="s">
        <v>28</v>
      </c>
      <c r="D361">
        <v>4.57</v>
      </c>
      <c r="E361">
        <v>1.1000000000000001</v>
      </c>
      <c r="F361">
        <v>340</v>
      </c>
      <c r="G361">
        <v>101</v>
      </c>
      <c r="H361" t="str">
        <f t="shared" si="56"/>
        <v>壤土</v>
      </c>
      <c r="I361" t="s">
        <v>22</v>
      </c>
      <c r="J361" t="s">
        <v>22</v>
      </c>
      <c r="K361" t="s">
        <v>22</v>
      </c>
      <c r="L361" t="s">
        <v>22</v>
      </c>
      <c r="M361" t="s">
        <v>22</v>
      </c>
      <c r="N361" t="s">
        <v>29</v>
      </c>
      <c r="O361">
        <v>40</v>
      </c>
      <c r="P361">
        <v>5</v>
      </c>
      <c r="Q361">
        <v>30</v>
      </c>
      <c r="R361">
        <v>20</v>
      </c>
      <c r="S361">
        <v>0.84</v>
      </c>
    </row>
    <row r="362" spans="1:19" x14ac:dyDescent="0.25">
      <c r="A362">
        <v>1015</v>
      </c>
      <c r="B362">
        <v>1</v>
      </c>
      <c r="C362" t="s">
        <v>28</v>
      </c>
      <c r="D362">
        <v>4.57</v>
      </c>
      <c r="E362">
        <v>1.1000000000000001</v>
      </c>
      <c r="F362">
        <v>340</v>
      </c>
      <c r="G362">
        <v>101</v>
      </c>
      <c r="H362" t="str">
        <f t="shared" si="56"/>
        <v>壤土</v>
      </c>
      <c r="I362" t="s">
        <v>22</v>
      </c>
      <c r="J362" t="s">
        <v>22</v>
      </c>
      <c r="K362" t="s">
        <v>22</v>
      </c>
      <c r="L362" t="s">
        <v>22</v>
      </c>
      <c r="M362" t="s">
        <v>22</v>
      </c>
      <c r="N362" t="s">
        <v>29</v>
      </c>
      <c r="O362">
        <v>40</v>
      </c>
      <c r="P362">
        <v>5</v>
      </c>
      <c r="Q362">
        <v>30</v>
      </c>
      <c r="R362">
        <v>25</v>
      </c>
      <c r="S362">
        <v>0.9</v>
      </c>
    </row>
    <row r="363" spans="1:19" x14ac:dyDescent="0.25">
      <c r="A363">
        <v>1015</v>
      </c>
      <c r="B363">
        <v>1</v>
      </c>
      <c r="C363" t="s">
        <v>28</v>
      </c>
      <c r="D363">
        <v>4.57</v>
      </c>
      <c r="E363">
        <v>1.1000000000000001</v>
      </c>
      <c r="F363">
        <v>340</v>
      </c>
      <c r="G363">
        <v>101</v>
      </c>
      <c r="H363" t="str">
        <f t="shared" si="56"/>
        <v>壤土</v>
      </c>
      <c r="I363" t="s">
        <v>22</v>
      </c>
      <c r="J363" t="s">
        <v>22</v>
      </c>
      <c r="K363" t="s">
        <v>22</v>
      </c>
      <c r="L363" t="s">
        <v>22</v>
      </c>
      <c r="M363" t="s">
        <v>22</v>
      </c>
      <c r="N363" t="s">
        <v>29</v>
      </c>
      <c r="O363">
        <v>40</v>
      </c>
      <c r="P363">
        <v>5</v>
      </c>
      <c r="Q363">
        <v>30</v>
      </c>
      <c r="R363">
        <v>30</v>
      </c>
      <c r="S363">
        <v>0.94</v>
      </c>
    </row>
    <row r="364" spans="1:19" x14ac:dyDescent="0.25">
      <c r="A364">
        <v>1015</v>
      </c>
      <c r="B364">
        <v>2</v>
      </c>
      <c r="C364" t="s">
        <v>35</v>
      </c>
      <c r="D364">
        <v>5.18</v>
      </c>
      <c r="E364">
        <v>0.13200000000000001</v>
      </c>
      <c r="F364">
        <v>393</v>
      </c>
      <c r="G364">
        <v>150</v>
      </c>
      <c r="H364" t="str">
        <f t="shared" si="56"/>
        <v>壤土</v>
      </c>
      <c r="I364" t="s">
        <v>22</v>
      </c>
      <c r="J364" t="s">
        <v>22</v>
      </c>
      <c r="K364" t="s">
        <v>22</v>
      </c>
      <c r="L364" t="s">
        <v>22</v>
      </c>
      <c r="M364" t="s">
        <v>22</v>
      </c>
      <c r="N364" t="s">
        <v>32</v>
      </c>
      <c r="O364">
        <v>40</v>
      </c>
      <c r="P364">
        <v>5</v>
      </c>
      <c r="Q364">
        <v>30</v>
      </c>
      <c r="R364">
        <v>5</v>
      </c>
      <c r="S364">
        <v>0.06</v>
      </c>
    </row>
    <row r="365" spans="1:19" x14ac:dyDescent="0.25">
      <c r="A365">
        <v>1015</v>
      </c>
      <c r="B365">
        <v>2</v>
      </c>
      <c r="C365" t="s">
        <v>35</v>
      </c>
      <c r="D365">
        <v>5.18</v>
      </c>
      <c r="E365">
        <v>0.13200000000000001</v>
      </c>
      <c r="F365">
        <v>393</v>
      </c>
      <c r="G365">
        <v>150</v>
      </c>
      <c r="H365" t="str">
        <f t="shared" si="56"/>
        <v>壤土</v>
      </c>
      <c r="I365" t="s">
        <v>22</v>
      </c>
      <c r="J365" t="s">
        <v>22</v>
      </c>
      <c r="K365" t="s">
        <v>22</v>
      </c>
      <c r="L365" t="s">
        <v>22</v>
      </c>
      <c r="M365" t="s">
        <v>22</v>
      </c>
      <c r="N365" t="s">
        <v>32</v>
      </c>
      <c r="O365">
        <v>40</v>
      </c>
      <c r="P365">
        <v>5</v>
      </c>
      <c r="Q365">
        <v>30</v>
      </c>
      <c r="R365">
        <v>10</v>
      </c>
      <c r="S365">
        <v>0.12</v>
      </c>
    </row>
    <row r="366" spans="1:19" x14ac:dyDescent="0.25">
      <c r="A366">
        <v>1015</v>
      </c>
      <c r="B366">
        <v>2</v>
      </c>
      <c r="C366" t="s">
        <v>35</v>
      </c>
      <c r="D366">
        <v>5.18</v>
      </c>
      <c r="E366">
        <v>0.13200000000000001</v>
      </c>
      <c r="F366">
        <v>393</v>
      </c>
      <c r="G366">
        <v>150</v>
      </c>
      <c r="H366" t="str">
        <f t="shared" si="56"/>
        <v>壤土</v>
      </c>
      <c r="I366" t="s">
        <v>22</v>
      </c>
      <c r="J366" t="s">
        <v>22</v>
      </c>
      <c r="K366" t="s">
        <v>22</v>
      </c>
      <c r="L366" t="s">
        <v>22</v>
      </c>
      <c r="M366" t="s">
        <v>22</v>
      </c>
      <c r="N366" t="s">
        <v>32</v>
      </c>
      <c r="O366">
        <v>40</v>
      </c>
      <c r="P366">
        <v>5</v>
      </c>
      <c r="Q366">
        <v>30</v>
      </c>
      <c r="R366">
        <v>15</v>
      </c>
      <c r="S366">
        <v>0.16</v>
      </c>
    </row>
    <row r="367" spans="1:19" x14ac:dyDescent="0.25">
      <c r="A367">
        <v>1015</v>
      </c>
      <c r="B367">
        <v>2</v>
      </c>
      <c r="C367" t="s">
        <v>35</v>
      </c>
      <c r="D367">
        <v>5.18</v>
      </c>
      <c r="E367">
        <v>0.13200000000000001</v>
      </c>
      <c r="F367">
        <v>393</v>
      </c>
      <c r="G367">
        <v>150</v>
      </c>
      <c r="H367" t="str">
        <f t="shared" si="56"/>
        <v>壤土</v>
      </c>
      <c r="I367" t="s">
        <v>22</v>
      </c>
      <c r="J367" t="s">
        <v>22</v>
      </c>
      <c r="K367" t="s">
        <v>22</v>
      </c>
      <c r="L367" t="s">
        <v>22</v>
      </c>
      <c r="M367" t="s">
        <v>22</v>
      </c>
      <c r="N367" t="s">
        <v>32</v>
      </c>
      <c r="O367">
        <v>40</v>
      </c>
      <c r="P367">
        <v>5</v>
      </c>
      <c r="Q367">
        <v>30</v>
      </c>
      <c r="R367">
        <v>20</v>
      </c>
      <c r="S367">
        <v>0.18</v>
      </c>
    </row>
    <row r="368" spans="1:19" x14ac:dyDescent="0.25">
      <c r="A368">
        <v>1015</v>
      </c>
      <c r="B368">
        <v>2</v>
      </c>
      <c r="C368" t="s">
        <v>35</v>
      </c>
      <c r="D368">
        <v>5.18</v>
      </c>
      <c r="E368">
        <v>0.13200000000000001</v>
      </c>
      <c r="F368">
        <v>393</v>
      </c>
      <c r="G368">
        <v>150</v>
      </c>
      <c r="H368" t="str">
        <f t="shared" si="56"/>
        <v>壤土</v>
      </c>
      <c r="I368" t="s">
        <v>22</v>
      </c>
      <c r="J368" t="s">
        <v>22</v>
      </c>
      <c r="K368" t="s">
        <v>22</v>
      </c>
      <c r="L368" t="s">
        <v>22</v>
      </c>
      <c r="M368" t="s">
        <v>22</v>
      </c>
      <c r="N368" t="s">
        <v>32</v>
      </c>
      <c r="O368">
        <v>40</v>
      </c>
      <c r="P368">
        <v>5</v>
      </c>
      <c r="Q368">
        <v>30</v>
      </c>
      <c r="R368">
        <v>25</v>
      </c>
      <c r="S368">
        <v>0.2</v>
      </c>
    </row>
    <row r="369" spans="1:19" x14ac:dyDescent="0.25">
      <c r="A369">
        <v>1015</v>
      </c>
      <c r="B369">
        <v>2</v>
      </c>
      <c r="C369" t="s">
        <v>35</v>
      </c>
      <c r="D369">
        <v>5.18</v>
      </c>
      <c r="E369">
        <v>0.13200000000000001</v>
      </c>
      <c r="F369">
        <v>393</v>
      </c>
      <c r="G369">
        <v>150</v>
      </c>
      <c r="H369" t="str">
        <f t="shared" si="56"/>
        <v>壤土</v>
      </c>
      <c r="I369" t="s">
        <v>22</v>
      </c>
      <c r="J369" t="s">
        <v>22</v>
      </c>
      <c r="K369" t="s">
        <v>22</v>
      </c>
      <c r="L369" t="s">
        <v>22</v>
      </c>
      <c r="M369" t="s">
        <v>22</v>
      </c>
      <c r="N369" t="s">
        <v>32</v>
      </c>
      <c r="O369">
        <v>40</v>
      </c>
      <c r="P369">
        <v>5</v>
      </c>
      <c r="Q369">
        <v>30</v>
      </c>
      <c r="R369">
        <v>30</v>
      </c>
      <c r="S369">
        <v>0.24</v>
      </c>
    </row>
    <row r="370" spans="1:19" x14ac:dyDescent="0.25">
      <c r="A370">
        <v>1015</v>
      </c>
      <c r="B370">
        <v>2</v>
      </c>
      <c r="C370" t="s">
        <v>35</v>
      </c>
      <c r="D370">
        <v>5.18</v>
      </c>
      <c r="E370">
        <v>0.13200000000000001</v>
      </c>
      <c r="F370">
        <v>393</v>
      </c>
      <c r="G370">
        <v>150</v>
      </c>
      <c r="H370" t="str">
        <f t="shared" si="56"/>
        <v>壤土</v>
      </c>
      <c r="I370" t="s">
        <v>22</v>
      </c>
      <c r="J370" t="s">
        <v>22</v>
      </c>
      <c r="K370" t="s">
        <v>22</v>
      </c>
      <c r="L370" t="s">
        <v>22</v>
      </c>
      <c r="M370" t="s">
        <v>22</v>
      </c>
      <c r="N370" t="s">
        <v>32</v>
      </c>
      <c r="O370">
        <v>40</v>
      </c>
      <c r="P370">
        <v>5</v>
      </c>
      <c r="Q370">
        <v>30</v>
      </c>
      <c r="R370">
        <v>5</v>
      </c>
      <c r="S370">
        <v>0.1</v>
      </c>
    </row>
    <row r="371" spans="1:19" x14ac:dyDescent="0.25">
      <c r="A371">
        <v>1015</v>
      </c>
      <c r="B371">
        <v>2</v>
      </c>
      <c r="C371" t="s">
        <v>35</v>
      </c>
      <c r="D371">
        <v>5.18</v>
      </c>
      <c r="E371">
        <v>0.13200000000000001</v>
      </c>
      <c r="F371">
        <v>393</v>
      </c>
      <c r="G371">
        <v>150</v>
      </c>
      <c r="H371" t="str">
        <f t="shared" si="56"/>
        <v>壤土</v>
      </c>
      <c r="I371" t="s">
        <v>22</v>
      </c>
      <c r="J371" t="s">
        <v>22</v>
      </c>
      <c r="K371" t="s">
        <v>22</v>
      </c>
      <c r="L371" t="s">
        <v>22</v>
      </c>
      <c r="M371" t="s">
        <v>22</v>
      </c>
      <c r="N371" t="s">
        <v>32</v>
      </c>
      <c r="O371">
        <v>40</v>
      </c>
      <c r="P371">
        <v>5</v>
      </c>
      <c r="Q371">
        <v>30</v>
      </c>
      <c r="R371">
        <v>10</v>
      </c>
      <c r="S371">
        <v>0.24</v>
      </c>
    </row>
    <row r="372" spans="1:19" x14ac:dyDescent="0.25">
      <c r="A372">
        <v>1015</v>
      </c>
      <c r="B372">
        <v>2</v>
      </c>
      <c r="C372" t="s">
        <v>35</v>
      </c>
      <c r="D372">
        <v>5.18</v>
      </c>
      <c r="E372">
        <v>0.13200000000000001</v>
      </c>
      <c r="F372">
        <v>393</v>
      </c>
      <c r="G372">
        <v>150</v>
      </c>
      <c r="H372" t="str">
        <f t="shared" si="56"/>
        <v>壤土</v>
      </c>
      <c r="I372" t="s">
        <v>22</v>
      </c>
      <c r="J372" t="s">
        <v>22</v>
      </c>
      <c r="K372" t="s">
        <v>22</v>
      </c>
      <c r="L372" t="s">
        <v>22</v>
      </c>
      <c r="M372" t="s">
        <v>22</v>
      </c>
      <c r="N372" t="s">
        <v>32</v>
      </c>
      <c r="O372">
        <v>40</v>
      </c>
      <c r="P372">
        <v>5</v>
      </c>
      <c r="Q372">
        <v>30</v>
      </c>
      <c r="R372">
        <v>15</v>
      </c>
      <c r="S372">
        <v>0.36</v>
      </c>
    </row>
    <row r="373" spans="1:19" x14ac:dyDescent="0.25">
      <c r="A373">
        <v>1015</v>
      </c>
      <c r="B373">
        <v>2</v>
      </c>
      <c r="C373" t="s">
        <v>35</v>
      </c>
      <c r="D373">
        <v>5.18</v>
      </c>
      <c r="E373">
        <v>0.13200000000000001</v>
      </c>
      <c r="F373">
        <v>393</v>
      </c>
      <c r="G373">
        <v>150</v>
      </c>
      <c r="H373" t="str">
        <f t="shared" si="56"/>
        <v>壤土</v>
      </c>
      <c r="I373" t="s">
        <v>22</v>
      </c>
      <c r="J373" t="s">
        <v>22</v>
      </c>
      <c r="K373" t="s">
        <v>22</v>
      </c>
      <c r="L373" t="s">
        <v>22</v>
      </c>
      <c r="M373" t="s">
        <v>22</v>
      </c>
      <c r="N373" t="s">
        <v>32</v>
      </c>
      <c r="O373">
        <v>40</v>
      </c>
      <c r="P373">
        <v>5</v>
      </c>
      <c r="Q373">
        <v>30</v>
      </c>
      <c r="R373">
        <v>20</v>
      </c>
      <c r="S373">
        <v>0.56000000000000005</v>
      </c>
    </row>
    <row r="374" spans="1:19" x14ac:dyDescent="0.25">
      <c r="A374">
        <v>1015</v>
      </c>
      <c r="B374">
        <v>2</v>
      </c>
      <c r="C374" t="s">
        <v>35</v>
      </c>
      <c r="D374">
        <v>5.18</v>
      </c>
      <c r="E374">
        <v>0.13200000000000001</v>
      </c>
      <c r="F374">
        <v>393</v>
      </c>
      <c r="G374">
        <v>150</v>
      </c>
      <c r="H374" t="str">
        <f t="shared" si="56"/>
        <v>壤土</v>
      </c>
      <c r="I374" t="s">
        <v>22</v>
      </c>
      <c r="J374" t="s">
        <v>22</v>
      </c>
      <c r="K374" t="s">
        <v>22</v>
      </c>
      <c r="L374" t="s">
        <v>22</v>
      </c>
      <c r="M374" t="s">
        <v>22</v>
      </c>
      <c r="N374" t="s">
        <v>32</v>
      </c>
      <c r="O374">
        <v>40</v>
      </c>
      <c r="P374">
        <v>5</v>
      </c>
      <c r="Q374">
        <v>30</v>
      </c>
      <c r="R374">
        <v>25</v>
      </c>
      <c r="S374">
        <v>0.57999999999999996</v>
      </c>
    </row>
    <row r="375" spans="1:19" x14ac:dyDescent="0.25">
      <c r="A375">
        <v>1015</v>
      </c>
      <c r="B375">
        <v>2</v>
      </c>
      <c r="C375" t="s">
        <v>35</v>
      </c>
      <c r="D375">
        <v>5.18</v>
      </c>
      <c r="E375">
        <v>0.13200000000000001</v>
      </c>
      <c r="F375">
        <v>393</v>
      </c>
      <c r="G375">
        <v>150</v>
      </c>
      <c r="H375" t="str">
        <f t="shared" si="56"/>
        <v>壤土</v>
      </c>
      <c r="I375" t="s">
        <v>22</v>
      </c>
      <c r="J375" t="s">
        <v>22</v>
      </c>
      <c r="K375" t="s">
        <v>22</v>
      </c>
      <c r="L375" t="s">
        <v>22</v>
      </c>
      <c r="M375" t="s">
        <v>22</v>
      </c>
      <c r="N375" t="s">
        <v>32</v>
      </c>
      <c r="O375">
        <v>40</v>
      </c>
      <c r="P375">
        <v>5</v>
      </c>
      <c r="Q375">
        <v>30</v>
      </c>
      <c r="R375">
        <v>30</v>
      </c>
      <c r="S375">
        <v>0.66</v>
      </c>
    </row>
    <row r="376" spans="1:19" x14ac:dyDescent="0.25">
      <c r="A376">
        <v>1016</v>
      </c>
      <c r="B376">
        <v>1</v>
      </c>
      <c r="C376" t="s">
        <v>26</v>
      </c>
      <c r="D376">
        <v>3.3</v>
      </c>
      <c r="E376">
        <v>31.7</v>
      </c>
      <c r="F376">
        <v>218</v>
      </c>
      <c r="G376">
        <v>80.2</v>
      </c>
      <c r="H376" t="str">
        <f t="shared" si="56"/>
        <v>壤土</v>
      </c>
      <c r="I376" t="s">
        <v>22</v>
      </c>
      <c r="J376" t="s">
        <v>22</v>
      </c>
      <c r="K376" t="s">
        <v>22</v>
      </c>
      <c r="L376" t="s">
        <v>22</v>
      </c>
      <c r="M376">
        <v>7.5</v>
      </c>
      <c r="N376" t="s">
        <v>27</v>
      </c>
      <c r="O376">
        <v>40</v>
      </c>
      <c r="P376">
        <v>244</v>
      </c>
      <c r="Q376">
        <v>20</v>
      </c>
      <c r="R376">
        <v>30</v>
      </c>
      <c r="S376">
        <v>0.16700000000000001</v>
      </c>
    </row>
    <row r="377" spans="1:19" x14ac:dyDescent="0.25">
      <c r="A377">
        <v>1016</v>
      </c>
      <c r="B377">
        <v>1</v>
      </c>
      <c r="C377" t="s">
        <v>30</v>
      </c>
      <c r="D377">
        <v>4.88</v>
      </c>
      <c r="E377">
        <v>7.2999999999999995E-2</v>
      </c>
      <c r="F377">
        <v>340</v>
      </c>
      <c r="G377">
        <v>216</v>
      </c>
      <c r="H377" t="str">
        <f t="shared" ref="H377:H411" si="57">H376</f>
        <v>壤土</v>
      </c>
      <c r="I377" t="s">
        <v>22</v>
      </c>
      <c r="J377" t="s">
        <v>22</v>
      </c>
      <c r="K377" t="s">
        <v>22</v>
      </c>
      <c r="L377" t="s">
        <v>22</v>
      </c>
      <c r="M377">
        <v>7.5</v>
      </c>
      <c r="N377" t="s">
        <v>29</v>
      </c>
      <c r="O377">
        <v>40</v>
      </c>
      <c r="P377">
        <f>P376</f>
        <v>244</v>
      </c>
      <c r="Q377">
        <f>Q376</f>
        <v>20</v>
      </c>
      <c r="R377">
        <v>30</v>
      </c>
      <c r="S377">
        <v>0.249</v>
      </c>
    </row>
    <row r="378" spans="1:19" x14ac:dyDescent="0.25">
      <c r="A378">
        <v>1016</v>
      </c>
      <c r="B378">
        <v>1</v>
      </c>
      <c r="C378" t="s">
        <v>35</v>
      </c>
      <c r="D378">
        <v>5.18</v>
      </c>
      <c r="E378">
        <v>0.13200000000000001</v>
      </c>
      <c r="F378">
        <v>393</v>
      </c>
      <c r="G378">
        <v>150</v>
      </c>
      <c r="H378" t="str">
        <f t="shared" si="57"/>
        <v>壤土</v>
      </c>
      <c r="I378" t="s">
        <v>22</v>
      </c>
      <c r="J378" t="s">
        <v>22</v>
      </c>
      <c r="K378" t="s">
        <v>22</v>
      </c>
      <c r="L378" t="s">
        <v>22</v>
      </c>
      <c r="M378">
        <v>7.5</v>
      </c>
      <c r="N378" t="s">
        <v>32</v>
      </c>
      <c r="O378">
        <v>40</v>
      </c>
      <c r="P378">
        <f t="shared" ref="P378:P411" si="58">P377</f>
        <v>244</v>
      </c>
      <c r="Q378">
        <f t="shared" ref="Q378:Q411" si="59">Q377</f>
        <v>20</v>
      </c>
      <c r="R378">
        <v>30</v>
      </c>
      <c r="S378">
        <v>0.182</v>
      </c>
    </row>
    <row r="379" spans="1:19" x14ac:dyDescent="0.25">
      <c r="A379">
        <v>1016</v>
      </c>
      <c r="B379">
        <v>1</v>
      </c>
      <c r="C379" t="s">
        <v>33</v>
      </c>
      <c r="D379">
        <v>5.61</v>
      </c>
      <c r="E379">
        <v>2E-3</v>
      </c>
      <c r="F379">
        <v>350</v>
      </c>
      <c r="G379">
        <v>255</v>
      </c>
      <c r="H379" t="str">
        <f t="shared" si="57"/>
        <v>壤土</v>
      </c>
      <c r="I379" t="s">
        <v>22</v>
      </c>
      <c r="J379" t="s">
        <v>22</v>
      </c>
      <c r="K379" t="s">
        <v>22</v>
      </c>
      <c r="L379" t="s">
        <v>22</v>
      </c>
      <c r="M379">
        <v>7.5</v>
      </c>
      <c r="N379" t="s">
        <v>32</v>
      </c>
      <c r="O379">
        <v>40</v>
      </c>
      <c r="P379">
        <f t="shared" si="58"/>
        <v>244</v>
      </c>
      <c r="Q379">
        <f t="shared" si="59"/>
        <v>20</v>
      </c>
      <c r="R379">
        <v>30</v>
      </c>
      <c r="S379">
        <v>0.159</v>
      </c>
    </row>
    <row r="380" spans="1:19" x14ac:dyDescent="0.25">
      <c r="A380">
        <v>1016</v>
      </c>
      <c r="B380">
        <v>1</v>
      </c>
      <c r="C380" t="s">
        <v>31</v>
      </c>
      <c r="D380">
        <v>5.22</v>
      </c>
      <c r="E380">
        <v>0.26</v>
      </c>
      <c r="F380">
        <v>375</v>
      </c>
      <c r="G380">
        <v>111</v>
      </c>
      <c r="H380" t="str">
        <f t="shared" si="57"/>
        <v>壤土</v>
      </c>
      <c r="I380" t="s">
        <v>22</v>
      </c>
      <c r="J380" t="s">
        <v>22</v>
      </c>
      <c r="K380" t="s">
        <v>22</v>
      </c>
      <c r="L380" t="s">
        <v>22</v>
      </c>
      <c r="M380">
        <v>7.5</v>
      </c>
      <c r="N380" t="s">
        <v>32</v>
      </c>
      <c r="O380">
        <v>40</v>
      </c>
      <c r="P380">
        <f t="shared" si="58"/>
        <v>244</v>
      </c>
      <c r="Q380">
        <f t="shared" si="59"/>
        <v>20</v>
      </c>
      <c r="R380">
        <v>30</v>
      </c>
      <c r="S380">
        <v>0.126</v>
      </c>
    </row>
    <row r="381" spans="1:19" x14ac:dyDescent="0.25">
      <c r="A381">
        <v>1016</v>
      </c>
      <c r="B381">
        <v>1</v>
      </c>
      <c r="C381" t="s">
        <v>28</v>
      </c>
      <c r="D381">
        <v>4.57</v>
      </c>
      <c r="E381">
        <v>1.1000000000000001</v>
      </c>
      <c r="F381">
        <v>340</v>
      </c>
      <c r="G381">
        <v>101</v>
      </c>
      <c r="H381" t="str">
        <f t="shared" si="57"/>
        <v>壤土</v>
      </c>
      <c r="I381" t="s">
        <v>22</v>
      </c>
      <c r="J381" t="s">
        <v>22</v>
      </c>
      <c r="K381" t="s">
        <v>22</v>
      </c>
      <c r="L381" t="s">
        <v>22</v>
      </c>
      <c r="M381">
        <v>7.5</v>
      </c>
      <c r="N381" t="s">
        <v>29</v>
      </c>
      <c r="O381">
        <v>40</v>
      </c>
      <c r="P381">
        <f t="shared" si="58"/>
        <v>244</v>
      </c>
      <c r="Q381">
        <f t="shared" si="59"/>
        <v>20</v>
      </c>
      <c r="R381">
        <v>30</v>
      </c>
      <c r="S381">
        <v>0.182</v>
      </c>
    </row>
    <row r="382" spans="1:19" x14ac:dyDescent="0.25">
      <c r="A382">
        <v>1016</v>
      </c>
      <c r="B382">
        <v>2</v>
      </c>
      <c r="C382" t="s">
        <v>26</v>
      </c>
      <c r="D382">
        <v>3.3</v>
      </c>
      <c r="E382">
        <v>31.7</v>
      </c>
      <c r="F382">
        <v>218</v>
      </c>
      <c r="G382">
        <v>80.2</v>
      </c>
      <c r="H382" t="str">
        <f t="shared" si="57"/>
        <v>壤土</v>
      </c>
      <c r="I382" t="s">
        <v>22</v>
      </c>
      <c r="J382" t="s">
        <v>22</v>
      </c>
      <c r="K382" t="s">
        <v>22</v>
      </c>
      <c r="L382" t="s">
        <v>22</v>
      </c>
      <c r="M382">
        <v>7.5</v>
      </c>
      <c r="N382" t="s">
        <v>27</v>
      </c>
      <c r="O382">
        <v>40</v>
      </c>
      <c r="P382">
        <f t="shared" si="58"/>
        <v>244</v>
      </c>
      <c r="Q382">
        <f t="shared" si="59"/>
        <v>20</v>
      </c>
      <c r="R382">
        <v>30</v>
      </c>
      <c r="S382">
        <v>0.56100000000000005</v>
      </c>
    </row>
    <row r="383" spans="1:19" x14ac:dyDescent="0.25">
      <c r="A383">
        <v>1016</v>
      </c>
      <c r="B383">
        <v>2</v>
      </c>
      <c r="C383" t="s">
        <v>30</v>
      </c>
      <c r="D383">
        <v>4.88</v>
      </c>
      <c r="E383">
        <v>7.2999999999999995E-2</v>
      </c>
      <c r="F383">
        <v>340</v>
      </c>
      <c r="G383">
        <v>216</v>
      </c>
      <c r="H383" t="str">
        <f t="shared" si="57"/>
        <v>壤土</v>
      </c>
      <c r="I383" t="s">
        <v>22</v>
      </c>
      <c r="J383" t="s">
        <v>22</v>
      </c>
      <c r="K383" t="s">
        <v>22</v>
      </c>
      <c r="L383" t="s">
        <v>22</v>
      </c>
      <c r="M383">
        <v>7.5</v>
      </c>
      <c r="N383" t="s">
        <v>29</v>
      </c>
      <c r="O383">
        <v>40</v>
      </c>
      <c r="P383">
        <f t="shared" si="58"/>
        <v>244</v>
      </c>
      <c r="Q383">
        <f t="shared" si="59"/>
        <v>20</v>
      </c>
      <c r="R383">
        <v>30</v>
      </c>
      <c r="S383">
        <v>0.442</v>
      </c>
    </row>
    <row r="384" spans="1:19" x14ac:dyDescent="0.25">
      <c r="A384">
        <v>1016</v>
      </c>
      <c r="B384">
        <v>2</v>
      </c>
      <c r="C384" t="s">
        <v>35</v>
      </c>
      <c r="D384">
        <v>5.18</v>
      </c>
      <c r="E384">
        <v>0.13200000000000001</v>
      </c>
      <c r="F384">
        <v>393</v>
      </c>
      <c r="G384">
        <v>150</v>
      </c>
      <c r="H384" t="str">
        <f t="shared" si="57"/>
        <v>壤土</v>
      </c>
      <c r="I384" t="s">
        <v>22</v>
      </c>
      <c r="J384" t="s">
        <v>22</v>
      </c>
      <c r="K384" t="s">
        <v>22</v>
      </c>
      <c r="L384" t="s">
        <v>22</v>
      </c>
      <c r="M384">
        <v>7.5</v>
      </c>
      <c r="N384" t="s">
        <v>32</v>
      </c>
      <c r="O384">
        <v>40</v>
      </c>
      <c r="P384">
        <f t="shared" si="58"/>
        <v>244</v>
      </c>
      <c r="Q384">
        <f t="shared" si="59"/>
        <v>20</v>
      </c>
      <c r="R384">
        <v>30</v>
      </c>
      <c r="S384">
        <v>0.34899999999999998</v>
      </c>
    </row>
    <row r="385" spans="1:19" x14ac:dyDescent="0.25">
      <c r="A385">
        <v>1016</v>
      </c>
      <c r="B385">
        <v>2</v>
      </c>
      <c r="C385" t="s">
        <v>33</v>
      </c>
      <c r="D385">
        <v>5.61</v>
      </c>
      <c r="E385">
        <v>2E-3</v>
      </c>
      <c r="F385">
        <v>350</v>
      </c>
      <c r="G385">
        <v>255</v>
      </c>
      <c r="H385" t="str">
        <f t="shared" si="57"/>
        <v>壤土</v>
      </c>
      <c r="I385" t="s">
        <v>22</v>
      </c>
      <c r="J385" t="s">
        <v>22</v>
      </c>
      <c r="K385" t="s">
        <v>22</v>
      </c>
      <c r="L385" t="s">
        <v>22</v>
      </c>
      <c r="M385">
        <v>7.5</v>
      </c>
      <c r="N385" t="s">
        <v>32</v>
      </c>
      <c r="O385">
        <v>40</v>
      </c>
      <c r="P385">
        <f t="shared" si="58"/>
        <v>244</v>
      </c>
      <c r="Q385">
        <f t="shared" si="59"/>
        <v>20</v>
      </c>
      <c r="R385">
        <v>30</v>
      </c>
      <c r="S385">
        <v>0.29799999999999999</v>
      </c>
    </row>
    <row r="386" spans="1:19" x14ac:dyDescent="0.25">
      <c r="A386">
        <v>1016</v>
      </c>
      <c r="B386">
        <v>2</v>
      </c>
      <c r="C386" t="s">
        <v>31</v>
      </c>
      <c r="D386">
        <v>5.22</v>
      </c>
      <c r="E386">
        <v>0.26</v>
      </c>
      <c r="F386">
        <v>375</v>
      </c>
      <c r="G386">
        <v>111</v>
      </c>
      <c r="H386" t="str">
        <f t="shared" si="57"/>
        <v>壤土</v>
      </c>
      <c r="I386" t="s">
        <v>22</v>
      </c>
      <c r="J386" t="s">
        <v>22</v>
      </c>
      <c r="K386" t="s">
        <v>22</v>
      </c>
      <c r="L386" t="s">
        <v>22</v>
      </c>
      <c r="M386">
        <v>7.5</v>
      </c>
      <c r="N386" t="s">
        <v>32</v>
      </c>
      <c r="O386">
        <v>40</v>
      </c>
      <c r="P386">
        <f t="shared" si="58"/>
        <v>244</v>
      </c>
      <c r="Q386">
        <f t="shared" si="59"/>
        <v>20</v>
      </c>
      <c r="R386">
        <v>30</v>
      </c>
      <c r="S386">
        <v>0.311</v>
      </c>
    </row>
    <row r="387" spans="1:19" x14ac:dyDescent="0.25">
      <c r="A387">
        <v>1016</v>
      </c>
      <c r="B387">
        <v>2</v>
      </c>
      <c r="C387" t="s">
        <v>28</v>
      </c>
      <c r="D387">
        <v>4.57</v>
      </c>
      <c r="E387">
        <v>1.1000000000000001</v>
      </c>
      <c r="F387">
        <v>340</v>
      </c>
      <c r="G387">
        <v>101</v>
      </c>
      <c r="H387" t="str">
        <f t="shared" si="57"/>
        <v>壤土</v>
      </c>
      <c r="I387" t="s">
        <v>22</v>
      </c>
      <c r="J387" t="s">
        <v>22</v>
      </c>
      <c r="K387" t="s">
        <v>22</v>
      </c>
      <c r="L387" t="s">
        <v>22</v>
      </c>
      <c r="M387">
        <v>7.5</v>
      </c>
      <c r="N387" t="s">
        <v>29</v>
      </c>
      <c r="O387">
        <v>40</v>
      </c>
      <c r="P387">
        <f t="shared" si="58"/>
        <v>244</v>
      </c>
      <c r="Q387">
        <f t="shared" si="59"/>
        <v>20</v>
      </c>
      <c r="R387">
        <v>30</v>
      </c>
      <c r="S387">
        <v>0.48199999999999998</v>
      </c>
    </row>
    <row r="388" spans="1:19" x14ac:dyDescent="0.25">
      <c r="A388">
        <v>1016</v>
      </c>
      <c r="B388">
        <v>3</v>
      </c>
      <c r="C388" t="s">
        <v>26</v>
      </c>
      <c r="D388">
        <v>3.3</v>
      </c>
      <c r="E388">
        <v>31.7</v>
      </c>
      <c r="F388">
        <v>218</v>
      </c>
      <c r="G388">
        <v>80.2</v>
      </c>
      <c r="H388" t="str">
        <f t="shared" si="57"/>
        <v>壤土</v>
      </c>
      <c r="I388" t="s">
        <v>22</v>
      </c>
      <c r="J388" t="s">
        <v>22</v>
      </c>
      <c r="K388" t="s">
        <v>22</v>
      </c>
      <c r="L388" t="s">
        <v>22</v>
      </c>
      <c r="M388">
        <v>7.5</v>
      </c>
      <c r="N388" t="s">
        <v>27</v>
      </c>
      <c r="O388">
        <v>40</v>
      </c>
      <c r="P388">
        <f t="shared" si="58"/>
        <v>244</v>
      </c>
      <c r="Q388">
        <f t="shared" si="59"/>
        <v>20</v>
      </c>
      <c r="R388">
        <v>30</v>
      </c>
      <c r="S388">
        <v>0.63500000000000001</v>
      </c>
    </row>
    <row r="389" spans="1:19" x14ac:dyDescent="0.25">
      <c r="A389">
        <v>1016</v>
      </c>
      <c r="B389">
        <v>3</v>
      </c>
      <c r="C389" t="s">
        <v>30</v>
      </c>
      <c r="D389">
        <v>4.88</v>
      </c>
      <c r="E389">
        <v>7.2999999999999995E-2</v>
      </c>
      <c r="F389">
        <v>340</v>
      </c>
      <c r="G389">
        <v>216</v>
      </c>
      <c r="H389" t="str">
        <f t="shared" si="57"/>
        <v>壤土</v>
      </c>
      <c r="I389" t="s">
        <v>22</v>
      </c>
      <c r="J389" t="s">
        <v>22</v>
      </c>
      <c r="K389" t="s">
        <v>22</v>
      </c>
      <c r="L389" t="s">
        <v>22</v>
      </c>
      <c r="M389">
        <v>7.5</v>
      </c>
      <c r="N389" t="s">
        <v>29</v>
      </c>
      <c r="O389">
        <v>40</v>
      </c>
      <c r="P389">
        <f t="shared" si="58"/>
        <v>244</v>
      </c>
      <c r="Q389">
        <f t="shared" si="59"/>
        <v>20</v>
      </c>
      <c r="R389">
        <v>30</v>
      </c>
      <c r="S389">
        <v>0.52100000000000002</v>
      </c>
    </row>
    <row r="390" spans="1:19" x14ac:dyDescent="0.25">
      <c r="A390">
        <v>1016</v>
      </c>
      <c r="B390">
        <v>3</v>
      </c>
      <c r="C390" t="s">
        <v>35</v>
      </c>
      <c r="D390">
        <v>5.18</v>
      </c>
      <c r="E390">
        <v>0.13200000000000001</v>
      </c>
      <c r="F390">
        <v>393</v>
      </c>
      <c r="G390">
        <v>150</v>
      </c>
      <c r="H390" t="str">
        <f t="shared" si="57"/>
        <v>壤土</v>
      </c>
      <c r="I390" t="s">
        <v>22</v>
      </c>
      <c r="J390" t="s">
        <v>22</v>
      </c>
      <c r="K390" t="s">
        <v>22</v>
      </c>
      <c r="L390" t="s">
        <v>22</v>
      </c>
      <c r="M390">
        <v>7.5</v>
      </c>
      <c r="N390" t="s">
        <v>32</v>
      </c>
      <c r="O390">
        <v>40</v>
      </c>
      <c r="P390">
        <f t="shared" si="58"/>
        <v>244</v>
      </c>
      <c r="Q390">
        <f t="shared" si="59"/>
        <v>20</v>
      </c>
      <c r="R390">
        <v>30</v>
      </c>
      <c r="S390">
        <v>0.42299999999999999</v>
      </c>
    </row>
    <row r="391" spans="1:19" x14ac:dyDescent="0.25">
      <c r="A391">
        <v>1016</v>
      </c>
      <c r="B391">
        <v>3</v>
      </c>
      <c r="C391" t="s">
        <v>33</v>
      </c>
      <c r="D391">
        <v>5.61</v>
      </c>
      <c r="E391">
        <v>2E-3</v>
      </c>
      <c r="F391">
        <v>350</v>
      </c>
      <c r="G391">
        <v>255</v>
      </c>
      <c r="H391" t="str">
        <f t="shared" si="57"/>
        <v>壤土</v>
      </c>
      <c r="I391" t="s">
        <v>22</v>
      </c>
      <c r="J391" t="s">
        <v>22</v>
      </c>
      <c r="K391" t="s">
        <v>22</v>
      </c>
      <c r="L391" t="s">
        <v>22</v>
      </c>
      <c r="M391">
        <v>7.5</v>
      </c>
      <c r="N391" t="s">
        <v>32</v>
      </c>
      <c r="O391">
        <v>40</v>
      </c>
      <c r="P391">
        <f t="shared" si="58"/>
        <v>244</v>
      </c>
      <c r="Q391">
        <f t="shared" si="59"/>
        <v>20</v>
      </c>
      <c r="R391">
        <v>30</v>
      </c>
      <c r="S391">
        <v>0.42199999999999999</v>
      </c>
    </row>
    <row r="392" spans="1:19" x14ac:dyDescent="0.25">
      <c r="A392">
        <v>1016</v>
      </c>
      <c r="B392">
        <v>3</v>
      </c>
      <c r="C392" t="s">
        <v>31</v>
      </c>
      <c r="D392">
        <v>5.22</v>
      </c>
      <c r="E392">
        <v>0.26</v>
      </c>
      <c r="F392">
        <v>375</v>
      </c>
      <c r="G392">
        <v>111</v>
      </c>
      <c r="H392" t="str">
        <f t="shared" si="57"/>
        <v>壤土</v>
      </c>
      <c r="I392" t="s">
        <v>22</v>
      </c>
      <c r="J392" t="s">
        <v>22</v>
      </c>
      <c r="K392" t="s">
        <v>22</v>
      </c>
      <c r="L392" t="s">
        <v>22</v>
      </c>
      <c r="M392">
        <v>7.5</v>
      </c>
      <c r="N392" t="s">
        <v>32</v>
      </c>
      <c r="O392">
        <v>40</v>
      </c>
      <c r="P392">
        <f t="shared" si="58"/>
        <v>244</v>
      </c>
      <c r="Q392">
        <f t="shared" si="59"/>
        <v>20</v>
      </c>
      <c r="R392">
        <v>30</v>
      </c>
      <c r="S392">
        <v>0.41199999999999998</v>
      </c>
    </row>
    <row r="393" spans="1:19" x14ac:dyDescent="0.25">
      <c r="A393">
        <v>1016</v>
      </c>
      <c r="B393">
        <v>3</v>
      </c>
      <c r="C393" t="s">
        <v>28</v>
      </c>
      <c r="D393">
        <v>4.57</v>
      </c>
      <c r="E393">
        <v>1.1000000000000001</v>
      </c>
      <c r="F393">
        <v>340</v>
      </c>
      <c r="G393">
        <v>101</v>
      </c>
      <c r="H393" t="str">
        <f t="shared" si="57"/>
        <v>壤土</v>
      </c>
      <c r="I393" t="s">
        <v>22</v>
      </c>
      <c r="J393" t="s">
        <v>22</v>
      </c>
      <c r="K393" t="s">
        <v>22</v>
      </c>
      <c r="L393" t="s">
        <v>22</v>
      </c>
      <c r="M393">
        <v>7.5</v>
      </c>
      <c r="N393" t="s">
        <v>29</v>
      </c>
      <c r="O393">
        <v>40</v>
      </c>
      <c r="P393">
        <f t="shared" si="58"/>
        <v>244</v>
      </c>
      <c r="Q393">
        <f t="shared" si="59"/>
        <v>20</v>
      </c>
      <c r="R393">
        <v>30</v>
      </c>
      <c r="S393">
        <v>0.57099999999999995</v>
      </c>
    </row>
    <row r="394" spans="1:19" x14ac:dyDescent="0.25">
      <c r="A394">
        <v>1016</v>
      </c>
      <c r="B394">
        <v>4</v>
      </c>
      <c r="C394" t="s">
        <v>26</v>
      </c>
      <c r="D394">
        <v>3.3</v>
      </c>
      <c r="E394">
        <v>31.7</v>
      </c>
      <c r="F394">
        <v>218</v>
      </c>
      <c r="G394">
        <v>80.2</v>
      </c>
      <c r="H394" t="str">
        <f t="shared" si="57"/>
        <v>壤土</v>
      </c>
      <c r="I394" t="s">
        <v>22</v>
      </c>
      <c r="J394" t="s">
        <v>22</v>
      </c>
      <c r="K394" t="s">
        <v>22</v>
      </c>
      <c r="L394" t="s">
        <v>22</v>
      </c>
      <c r="M394">
        <v>7.5</v>
      </c>
      <c r="N394" t="s">
        <v>27</v>
      </c>
      <c r="O394">
        <v>40</v>
      </c>
      <c r="P394">
        <f t="shared" si="58"/>
        <v>244</v>
      </c>
      <c r="Q394">
        <f t="shared" si="59"/>
        <v>20</v>
      </c>
      <c r="R394">
        <v>30</v>
      </c>
      <c r="S394">
        <v>0.81200000000000006</v>
      </c>
    </row>
    <row r="395" spans="1:19" x14ac:dyDescent="0.25">
      <c r="A395">
        <v>1016</v>
      </c>
      <c r="B395">
        <v>4</v>
      </c>
      <c r="C395" t="s">
        <v>30</v>
      </c>
      <c r="D395">
        <v>4.88</v>
      </c>
      <c r="E395">
        <v>7.2999999999999995E-2</v>
      </c>
      <c r="F395">
        <v>340</v>
      </c>
      <c r="G395">
        <v>216</v>
      </c>
      <c r="H395" t="str">
        <f t="shared" si="57"/>
        <v>壤土</v>
      </c>
      <c r="I395" t="s">
        <v>22</v>
      </c>
      <c r="J395" t="s">
        <v>22</v>
      </c>
      <c r="K395" t="s">
        <v>22</v>
      </c>
      <c r="L395" t="s">
        <v>22</v>
      </c>
      <c r="M395">
        <v>7.5</v>
      </c>
      <c r="N395" t="s">
        <v>29</v>
      </c>
      <c r="O395">
        <v>40</v>
      </c>
      <c r="P395">
        <f t="shared" si="58"/>
        <v>244</v>
      </c>
      <c r="Q395">
        <f t="shared" si="59"/>
        <v>20</v>
      </c>
      <c r="R395">
        <v>30</v>
      </c>
      <c r="S395">
        <v>0.86399999999999999</v>
      </c>
    </row>
    <row r="396" spans="1:19" x14ac:dyDescent="0.25">
      <c r="A396">
        <v>1016</v>
      </c>
      <c r="B396">
        <v>4</v>
      </c>
      <c r="C396" t="s">
        <v>35</v>
      </c>
      <c r="D396">
        <v>5.18</v>
      </c>
      <c r="E396">
        <v>0.13200000000000001</v>
      </c>
      <c r="F396">
        <v>393</v>
      </c>
      <c r="G396">
        <v>150</v>
      </c>
      <c r="H396" t="str">
        <f t="shared" si="57"/>
        <v>壤土</v>
      </c>
      <c r="I396" t="s">
        <v>22</v>
      </c>
      <c r="J396" t="s">
        <v>22</v>
      </c>
      <c r="K396" t="s">
        <v>22</v>
      </c>
      <c r="L396" t="s">
        <v>22</v>
      </c>
      <c r="M396">
        <v>7.5</v>
      </c>
      <c r="N396" t="s">
        <v>32</v>
      </c>
      <c r="O396">
        <v>40</v>
      </c>
      <c r="P396">
        <f t="shared" si="58"/>
        <v>244</v>
      </c>
      <c r="Q396">
        <f t="shared" si="59"/>
        <v>20</v>
      </c>
      <c r="R396">
        <v>30</v>
      </c>
      <c r="S396">
        <v>0.54300000000000004</v>
      </c>
    </row>
    <row r="397" spans="1:19" x14ac:dyDescent="0.25">
      <c r="A397">
        <v>1016</v>
      </c>
      <c r="B397">
        <v>4</v>
      </c>
      <c r="C397" t="s">
        <v>33</v>
      </c>
      <c r="D397">
        <v>5.61</v>
      </c>
      <c r="E397">
        <v>2E-3</v>
      </c>
      <c r="F397">
        <v>350</v>
      </c>
      <c r="G397">
        <v>255</v>
      </c>
      <c r="H397" t="str">
        <f t="shared" si="57"/>
        <v>壤土</v>
      </c>
      <c r="I397" t="s">
        <v>22</v>
      </c>
      <c r="J397" t="s">
        <v>22</v>
      </c>
      <c r="K397" t="s">
        <v>22</v>
      </c>
      <c r="L397" t="s">
        <v>22</v>
      </c>
      <c r="M397">
        <v>7.5</v>
      </c>
      <c r="N397" t="s">
        <v>32</v>
      </c>
      <c r="O397">
        <v>40</v>
      </c>
      <c r="P397">
        <f t="shared" si="58"/>
        <v>244</v>
      </c>
      <c r="Q397">
        <f t="shared" si="59"/>
        <v>20</v>
      </c>
      <c r="R397">
        <v>30</v>
      </c>
      <c r="S397">
        <v>0.68300000000000005</v>
      </c>
    </row>
    <row r="398" spans="1:19" x14ac:dyDescent="0.25">
      <c r="A398">
        <v>1016</v>
      </c>
      <c r="B398">
        <v>4</v>
      </c>
      <c r="C398" t="s">
        <v>31</v>
      </c>
      <c r="D398">
        <v>5.22</v>
      </c>
      <c r="E398">
        <v>0.26</v>
      </c>
      <c r="F398">
        <v>375</v>
      </c>
      <c r="G398">
        <v>111</v>
      </c>
      <c r="H398" t="str">
        <f t="shared" si="57"/>
        <v>壤土</v>
      </c>
      <c r="I398" t="s">
        <v>22</v>
      </c>
      <c r="J398" t="s">
        <v>22</v>
      </c>
      <c r="K398" t="s">
        <v>22</v>
      </c>
      <c r="L398" t="s">
        <v>22</v>
      </c>
      <c r="M398">
        <v>7.5</v>
      </c>
      <c r="N398" t="s">
        <v>32</v>
      </c>
      <c r="O398">
        <v>40</v>
      </c>
      <c r="P398">
        <f t="shared" si="58"/>
        <v>244</v>
      </c>
      <c r="Q398">
        <f t="shared" si="59"/>
        <v>20</v>
      </c>
      <c r="R398">
        <v>30</v>
      </c>
      <c r="S398">
        <v>0.621</v>
      </c>
    </row>
    <row r="399" spans="1:19" x14ac:dyDescent="0.25">
      <c r="A399">
        <v>1016</v>
      </c>
      <c r="B399">
        <v>4</v>
      </c>
      <c r="C399" t="s">
        <v>28</v>
      </c>
      <c r="D399">
        <v>4.57</v>
      </c>
      <c r="E399">
        <v>1.1000000000000001</v>
      </c>
      <c r="F399">
        <v>340</v>
      </c>
      <c r="G399">
        <v>101</v>
      </c>
      <c r="H399" t="str">
        <f t="shared" si="57"/>
        <v>壤土</v>
      </c>
      <c r="I399" t="s">
        <v>22</v>
      </c>
      <c r="J399" t="s">
        <v>22</v>
      </c>
      <c r="K399" t="s">
        <v>22</v>
      </c>
      <c r="L399" t="s">
        <v>22</v>
      </c>
      <c r="M399">
        <v>7.5</v>
      </c>
      <c r="N399" t="s">
        <v>29</v>
      </c>
      <c r="O399">
        <v>40</v>
      </c>
      <c r="P399">
        <f t="shared" si="58"/>
        <v>244</v>
      </c>
      <c r="Q399">
        <f t="shared" si="59"/>
        <v>20</v>
      </c>
      <c r="R399">
        <v>30</v>
      </c>
      <c r="S399">
        <v>0.84099999999999997</v>
      </c>
    </row>
    <row r="400" spans="1:19" x14ac:dyDescent="0.25">
      <c r="A400">
        <v>1016</v>
      </c>
      <c r="B400">
        <v>5</v>
      </c>
      <c r="C400" t="s">
        <v>26</v>
      </c>
      <c r="D400">
        <v>3.3</v>
      </c>
      <c r="E400">
        <v>31.7</v>
      </c>
      <c r="F400">
        <v>218</v>
      </c>
      <c r="G400">
        <v>80.2</v>
      </c>
      <c r="H400" t="str">
        <f t="shared" si="57"/>
        <v>壤土</v>
      </c>
      <c r="I400" t="s">
        <v>22</v>
      </c>
      <c r="J400" t="s">
        <v>22</v>
      </c>
      <c r="K400" t="s">
        <v>22</v>
      </c>
      <c r="L400" t="s">
        <v>22</v>
      </c>
      <c r="M400">
        <v>7.5</v>
      </c>
      <c r="N400" t="s">
        <v>27</v>
      </c>
      <c r="O400">
        <v>40</v>
      </c>
      <c r="P400">
        <f t="shared" si="58"/>
        <v>244</v>
      </c>
      <c r="Q400">
        <f t="shared" si="59"/>
        <v>20</v>
      </c>
      <c r="R400">
        <v>30</v>
      </c>
      <c r="S400">
        <v>0.89500000000000002</v>
      </c>
    </row>
    <row r="401" spans="1:19" x14ac:dyDescent="0.25">
      <c r="A401">
        <v>1016</v>
      </c>
      <c r="B401">
        <v>5</v>
      </c>
      <c r="C401" t="s">
        <v>30</v>
      </c>
      <c r="D401">
        <v>4.88</v>
      </c>
      <c r="E401">
        <v>7.2999999999999995E-2</v>
      </c>
      <c r="F401">
        <v>340</v>
      </c>
      <c r="G401">
        <v>216</v>
      </c>
      <c r="H401" t="str">
        <f t="shared" si="57"/>
        <v>壤土</v>
      </c>
      <c r="I401" t="s">
        <v>22</v>
      </c>
      <c r="J401" t="s">
        <v>22</v>
      </c>
      <c r="K401" t="s">
        <v>22</v>
      </c>
      <c r="L401" t="s">
        <v>22</v>
      </c>
      <c r="M401">
        <v>7.5</v>
      </c>
      <c r="N401" t="s">
        <v>29</v>
      </c>
      <c r="O401">
        <v>40</v>
      </c>
      <c r="P401">
        <f t="shared" si="58"/>
        <v>244</v>
      </c>
      <c r="Q401">
        <f t="shared" si="59"/>
        <v>20</v>
      </c>
      <c r="R401">
        <v>30</v>
      </c>
      <c r="S401">
        <v>0.80300000000000005</v>
      </c>
    </row>
    <row r="402" spans="1:19" x14ac:dyDescent="0.25">
      <c r="A402">
        <v>1016</v>
      </c>
      <c r="B402">
        <v>5</v>
      </c>
      <c r="C402" t="s">
        <v>35</v>
      </c>
      <c r="D402">
        <v>5.18</v>
      </c>
      <c r="E402">
        <v>0.13200000000000001</v>
      </c>
      <c r="F402">
        <v>393</v>
      </c>
      <c r="G402">
        <v>150</v>
      </c>
      <c r="H402" t="str">
        <f t="shared" si="57"/>
        <v>壤土</v>
      </c>
      <c r="I402" t="s">
        <v>22</v>
      </c>
      <c r="J402" t="s">
        <v>22</v>
      </c>
      <c r="K402" t="s">
        <v>22</v>
      </c>
      <c r="L402" t="s">
        <v>22</v>
      </c>
      <c r="M402">
        <v>7.5</v>
      </c>
      <c r="N402" t="s">
        <v>32</v>
      </c>
      <c r="O402">
        <v>40</v>
      </c>
      <c r="P402">
        <f t="shared" si="58"/>
        <v>244</v>
      </c>
      <c r="Q402">
        <f t="shared" si="59"/>
        <v>20</v>
      </c>
      <c r="R402">
        <v>30</v>
      </c>
      <c r="S402">
        <v>0.82099999999999995</v>
      </c>
    </row>
    <row r="403" spans="1:19" x14ac:dyDescent="0.25">
      <c r="A403">
        <v>1016</v>
      </c>
      <c r="B403">
        <v>5</v>
      </c>
      <c r="C403" t="s">
        <v>33</v>
      </c>
      <c r="D403">
        <v>5.61</v>
      </c>
      <c r="E403">
        <v>2E-3</v>
      </c>
      <c r="F403">
        <v>350</v>
      </c>
      <c r="G403">
        <v>255</v>
      </c>
      <c r="H403" t="str">
        <f t="shared" si="57"/>
        <v>壤土</v>
      </c>
      <c r="I403" t="s">
        <v>22</v>
      </c>
      <c r="J403" t="s">
        <v>22</v>
      </c>
      <c r="K403" t="s">
        <v>22</v>
      </c>
      <c r="L403" t="s">
        <v>22</v>
      </c>
      <c r="M403">
        <v>7.5</v>
      </c>
      <c r="N403" t="s">
        <v>32</v>
      </c>
      <c r="O403">
        <v>40</v>
      </c>
      <c r="P403">
        <f t="shared" si="58"/>
        <v>244</v>
      </c>
      <c r="Q403">
        <f t="shared" si="59"/>
        <v>20</v>
      </c>
      <c r="R403">
        <v>30</v>
      </c>
      <c r="S403">
        <v>0.79800000000000004</v>
      </c>
    </row>
    <row r="404" spans="1:19" x14ac:dyDescent="0.25">
      <c r="A404">
        <v>1016</v>
      </c>
      <c r="B404">
        <v>5</v>
      </c>
      <c r="C404" t="s">
        <v>31</v>
      </c>
      <c r="D404">
        <v>5.22</v>
      </c>
      <c r="E404">
        <v>0.26</v>
      </c>
      <c r="F404">
        <v>375</v>
      </c>
      <c r="G404">
        <v>111</v>
      </c>
      <c r="H404" t="str">
        <f t="shared" si="57"/>
        <v>壤土</v>
      </c>
      <c r="I404" t="s">
        <v>22</v>
      </c>
      <c r="J404" t="s">
        <v>22</v>
      </c>
      <c r="K404" t="s">
        <v>22</v>
      </c>
      <c r="L404" t="s">
        <v>22</v>
      </c>
      <c r="M404">
        <v>7.5</v>
      </c>
      <c r="N404" t="s">
        <v>32</v>
      </c>
      <c r="O404">
        <v>40</v>
      </c>
      <c r="P404">
        <f t="shared" si="58"/>
        <v>244</v>
      </c>
      <c r="Q404">
        <f t="shared" si="59"/>
        <v>20</v>
      </c>
      <c r="R404">
        <v>30</v>
      </c>
      <c r="S404">
        <v>0.81399999999999995</v>
      </c>
    </row>
    <row r="405" spans="1:19" x14ac:dyDescent="0.25">
      <c r="A405">
        <v>1016</v>
      </c>
      <c r="B405">
        <v>5</v>
      </c>
      <c r="C405" t="s">
        <v>28</v>
      </c>
      <c r="D405">
        <v>4.57</v>
      </c>
      <c r="E405">
        <v>1.1000000000000001</v>
      </c>
      <c r="F405">
        <v>340</v>
      </c>
      <c r="G405">
        <v>101</v>
      </c>
      <c r="H405" t="str">
        <f t="shared" si="57"/>
        <v>壤土</v>
      </c>
      <c r="I405" t="s">
        <v>22</v>
      </c>
      <c r="J405" t="s">
        <v>22</v>
      </c>
      <c r="K405" t="s">
        <v>22</v>
      </c>
      <c r="L405" t="s">
        <v>22</v>
      </c>
      <c r="M405">
        <v>7.5</v>
      </c>
      <c r="N405" t="s">
        <v>29</v>
      </c>
      <c r="O405">
        <v>40</v>
      </c>
      <c r="P405">
        <f t="shared" si="58"/>
        <v>244</v>
      </c>
      <c r="Q405">
        <f t="shared" si="59"/>
        <v>20</v>
      </c>
      <c r="R405">
        <v>30</v>
      </c>
      <c r="S405">
        <v>0.67900000000000005</v>
      </c>
    </row>
    <row r="406" spans="1:19" x14ac:dyDescent="0.25">
      <c r="A406">
        <v>1016</v>
      </c>
      <c r="B406">
        <v>6</v>
      </c>
      <c r="C406" t="s">
        <v>26</v>
      </c>
      <c r="D406">
        <v>3.3</v>
      </c>
      <c r="E406">
        <v>31.7</v>
      </c>
      <c r="F406">
        <v>218</v>
      </c>
      <c r="G406">
        <v>80.2</v>
      </c>
      <c r="H406" t="str">
        <f t="shared" si="57"/>
        <v>壤土</v>
      </c>
      <c r="I406" t="s">
        <v>22</v>
      </c>
      <c r="J406" t="s">
        <v>22</v>
      </c>
      <c r="K406" t="s">
        <v>22</v>
      </c>
      <c r="L406" t="s">
        <v>22</v>
      </c>
      <c r="M406">
        <v>7.5</v>
      </c>
      <c r="N406" t="s">
        <v>27</v>
      </c>
      <c r="O406">
        <v>40</v>
      </c>
      <c r="P406">
        <f t="shared" si="58"/>
        <v>244</v>
      </c>
      <c r="Q406">
        <f t="shared" si="59"/>
        <v>20</v>
      </c>
      <c r="R406">
        <v>30</v>
      </c>
      <c r="S406">
        <v>0.98599999999999999</v>
      </c>
    </row>
    <row r="407" spans="1:19" x14ac:dyDescent="0.25">
      <c r="A407">
        <v>1016</v>
      </c>
      <c r="B407">
        <v>6</v>
      </c>
      <c r="C407" t="s">
        <v>30</v>
      </c>
      <c r="D407">
        <v>4.88</v>
      </c>
      <c r="E407">
        <v>7.2999999999999995E-2</v>
      </c>
      <c r="F407">
        <v>340</v>
      </c>
      <c r="G407">
        <v>216</v>
      </c>
      <c r="H407" t="str">
        <f t="shared" si="57"/>
        <v>壤土</v>
      </c>
      <c r="I407" t="s">
        <v>22</v>
      </c>
      <c r="J407" t="s">
        <v>22</v>
      </c>
      <c r="K407" t="s">
        <v>22</v>
      </c>
      <c r="L407" t="s">
        <v>22</v>
      </c>
      <c r="M407">
        <v>7.5</v>
      </c>
      <c r="N407" t="s">
        <v>29</v>
      </c>
      <c r="O407">
        <v>40</v>
      </c>
      <c r="P407">
        <f t="shared" si="58"/>
        <v>244</v>
      </c>
      <c r="Q407">
        <f t="shared" si="59"/>
        <v>20</v>
      </c>
      <c r="R407">
        <v>30</v>
      </c>
      <c r="S407">
        <v>0.65200000000000002</v>
      </c>
    </row>
    <row r="408" spans="1:19" x14ac:dyDescent="0.25">
      <c r="A408">
        <v>1016</v>
      </c>
      <c r="B408">
        <v>6</v>
      </c>
      <c r="C408" t="s">
        <v>35</v>
      </c>
      <c r="D408">
        <v>5.18</v>
      </c>
      <c r="E408">
        <v>0.13200000000000001</v>
      </c>
      <c r="F408">
        <v>393</v>
      </c>
      <c r="G408">
        <v>150</v>
      </c>
      <c r="H408" t="str">
        <f t="shared" si="57"/>
        <v>壤土</v>
      </c>
      <c r="I408" t="s">
        <v>22</v>
      </c>
      <c r="J408" t="s">
        <v>22</v>
      </c>
      <c r="K408" t="s">
        <v>22</v>
      </c>
      <c r="L408" t="s">
        <v>22</v>
      </c>
      <c r="M408">
        <v>7.5</v>
      </c>
      <c r="N408" t="s">
        <v>32</v>
      </c>
      <c r="O408">
        <v>40</v>
      </c>
      <c r="P408">
        <f t="shared" si="58"/>
        <v>244</v>
      </c>
      <c r="Q408">
        <f t="shared" si="59"/>
        <v>20</v>
      </c>
      <c r="R408">
        <v>30</v>
      </c>
      <c r="S408">
        <v>0.51600000000000001</v>
      </c>
    </row>
    <row r="409" spans="1:19" x14ac:dyDescent="0.25">
      <c r="A409">
        <v>1016</v>
      </c>
      <c r="B409">
        <v>6</v>
      </c>
      <c r="C409" t="s">
        <v>33</v>
      </c>
      <c r="D409">
        <v>5.61</v>
      </c>
      <c r="E409">
        <v>2E-3</v>
      </c>
      <c r="F409">
        <v>350</v>
      </c>
      <c r="G409">
        <v>255</v>
      </c>
      <c r="H409" t="str">
        <f t="shared" si="57"/>
        <v>壤土</v>
      </c>
      <c r="I409" t="s">
        <v>22</v>
      </c>
      <c r="J409" t="s">
        <v>22</v>
      </c>
      <c r="K409" t="s">
        <v>22</v>
      </c>
      <c r="L409" t="s">
        <v>22</v>
      </c>
      <c r="M409">
        <v>7.5</v>
      </c>
      <c r="N409" t="s">
        <v>32</v>
      </c>
      <c r="O409">
        <v>40</v>
      </c>
      <c r="P409">
        <f t="shared" si="58"/>
        <v>244</v>
      </c>
      <c r="Q409">
        <f t="shared" si="59"/>
        <v>20</v>
      </c>
      <c r="R409">
        <v>30</v>
      </c>
      <c r="S409">
        <v>0.76300000000000001</v>
      </c>
    </row>
    <row r="410" spans="1:19" x14ac:dyDescent="0.25">
      <c r="A410">
        <v>1016</v>
      </c>
      <c r="B410">
        <v>6</v>
      </c>
      <c r="C410" t="s">
        <v>31</v>
      </c>
      <c r="D410">
        <v>5.22</v>
      </c>
      <c r="E410">
        <v>0.26</v>
      </c>
      <c r="F410">
        <v>375</v>
      </c>
      <c r="G410">
        <v>111</v>
      </c>
      <c r="H410" t="str">
        <f t="shared" si="57"/>
        <v>壤土</v>
      </c>
      <c r="I410" t="s">
        <v>22</v>
      </c>
      <c r="J410" t="s">
        <v>22</v>
      </c>
      <c r="K410" t="s">
        <v>22</v>
      </c>
      <c r="L410" t="s">
        <v>22</v>
      </c>
      <c r="M410">
        <v>7.5</v>
      </c>
      <c r="N410" t="s">
        <v>32</v>
      </c>
      <c r="O410">
        <v>40</v>
      </c>
      <c r="P410">
        <f t="shared" si="58"/>
        <v>244</v>
      </c>
      <c r="Q410">
        <f t="shared" si="59"/>
        <v>20</v>
      </c>
      <c r="R410">
        <v>30</v>
      </c>
      <c r="S410">
        <v>0.71199999999999997</v>
      </c>
    </row>
    <row r="411" spans="1:19" x14ac:dyDescent="0.25">
      <c r="A411">
        <v>1016</v>
      </c>
      <c r="B411">
        <v>6</v>
      </c>
      <c r="C411" t="s">
        <v>28</v>
      </c>
      <c r="D411">
        <v>4.57</v>
      </c>
      <c r="E411">
        <v>1.1000000000000001</v>
      </c>
      <c r="F411">
        <v>340</v>
      </c>
      <c r="G411">
        <v>101</v>
      </c>
      <c r="H411" t="str">
        <f t="shared" si="57"/>
        <v>壤土</v>
      </c>
      <c r="I411" t="s">
        <v>22</v>
      </c>
      <c r="J411" t="s">
        <v>22</v>
      </c>
      <c r="K411" t="s">
        <v>22</v>
      </c>
      <c r="L411" t="s">
        <v>22</v>
      </c>
      <c r="M411">
        <v>7.5</v>
      </c>
      <c r="N411" t="s">
        <v>29</v>
      </c>
      <c r="O411">
        <v>40</v>
      </c>
      <c r="P411">
        <f t="shared" si="58"/>
        <v>244</v>
      </c>
      <c r="Q411">
        <f t="shared" si="59"/>
        <v>20</v>
      </c>
      <c r="R411">
        <v>30</v>
      </c>
      <c r="S411">
        <v>0.66100000000000003</v>
      </c>
    </row>
    <row r="412" spans="1:19" x14ac:dyDescent="0.25">
      <c r="A412">
        <v>1017</v>
      </c>
      <c r="B412">
        <v>1</v>
      </c>
      <c r="C412" t="s">
        <v>34</v>
      </c>
      <c r="D412">
        <v>4.18</v>
      </c>
      <c r="E412">
        <v>1.68</v>
      </c>
      <c r="F412">
        <v>295</v>
      </c>
      <c r="G412">
        <v>116</v>
      </c>
      <c r="H412" t="str">
        <f t="shared" ref="H412:H427" si="60">H411</f>
        <v>壤土</v>
      </c>
      <c r="I412" t="s">
        <v>22</v>
      </c>
      <c r="J412" t="s">
        <v>22</v>
      </c>
      <c r="K412" t="s">
        <v>22</v>
      </c>
      <c r="L412" t="s">
        <v>22</v>
      </c>
      <c r="M412">
        <v>7</v>
      </c>
      <c r="N412" t="s">
        <v>29</v>
      </c>
      <c r="O412" t="s">
        <v>22</v>
      </c>
      <c r="P412">
        <v>225.5</v>
      </c>
      <c r="Q412">
        <v>30</v>
      </c>
      <c r="R412">
        <v>5</v>
      </c>
      <c r="S412">
        <v>0.11310000000000001</v>
      </c>
    </row>
    <row r="413" spans="1:19" x14ac:dyDescent="0.25">
      <c r="A413">
        <v>1017</v>
      </c>
      <c r="B413">
        <v>1</v>
      </c>
      <c r="C413" t="s">
        <v>34</v>
      </c>
      <c r="D413">
        <v>4.18</v>
      </c>
      <c r="E413">
        <v>1.68</v>
      </c>
      <c r="F413">
        <v>295</v>
      </c>
      <c r="G413">
        <v>116</v>
      </c>
      <c r="H413" t="str">
        <f t="shared" si="60"/>
        <v>壤土</v>
      </c>
      <c r="I413" t="s">
        <v>22</v>
      </c>
      <c r="J413" t="s">
        <v>22</v>
      </c>
      <c r="K413" t="s">
        <v>22</v>
      </c>
      <c r="L413" t="s">
        <v>22</v>
      </c>
      <c r="M413">
        <v>7</v>
      </c>
      <c r="N413" t="s">
        <v>29</v>
      </c>
      <c r="O413" t="s">
        <v>22</v>
      </c>
      <c r="P413">
        <v>225.5</v>
      </c>
      <c r="Q413">
        <v>30</v>
      </c>
      <c r="R413">
        <v>10</v>
      </c>
      <c r="S413">
        <v>0.13519999999999999</v>
      </c>
    </row>
    <row r="414" spans="1:19" x14ac:dyDescent="0.25">
      <c r="A414">
        <v>1017</v>
      </c>
      <c r="B414">
        <v>1</v>
      </c>
      <c r="C414" t="s">
        <v>34</v>
      </c>
      <c r="D414">
        <v>4.18</v>
      </c>
      <c r="E414">
        <v>1.68</v>
      </c>
      <c r="F414">
        <v>295</v>
      </c>
      <c r="G414">
        <v>116</v>
      </c>
      <c r="H414" t="str">
        <f t="shared" si="60"/>
        <v>壤土</v>
      </c>
      <c r="I414" t="s">
        <v>22</v>
      </c>
      <c r="J414" t="s">
        <v>22</v>
      </c>
      <c r="K414" t="s">
        <v>22</v>
      </c>
      <c r="L414" t="s">
        <v>22</v>
      </c>
      <c r="M414">
        <v>7</v>
      </c>
      <c r="N414" t="s">
        <v>29</v>
      </c>
      <c r="O414" t="s">
        <v>22</v>
      </c>
      <c r="P414">
        <v>225.5</v>
      </c>
      <c r="Q414">
        <v>30</v>
      </c>
      <c r="R414">
        <v>15</v>
      </c>
      <c r="S414">
        <v>2.4400000000000002E-2</v>
      </c>
    </row>
    <row r="415" spans="1:19" x14ac:dyDescent="0.25">
      <c r="A415">
        <v>1017</v>
      </c>
      <c r="B415">
        <v>1</v>
      </c>
      <c r="C415" t="s">
        <v>34</v>
      </c>
      <c r="D415">
        <v>4.18</v>
      </c>
      <c r="E415">
        <v>1.68</v>
      </c>
      <c r="F415">
        <v>295</v>
      </c>
      <c r="G415">
        <v>116</v>
      </c>
      <c r="H415" t="str">
        <f t="shared" si="60"/>
        <v>壤土</v>
      </c>
      <c r="I415" t="s">
        <v>22</v>
      </c>
      <c r="J415" t="s">
        <v>22</v>
      </c>
      <c r="K415" t="s">
        <v>22</v>
      </c>
      <c r="L415" t="s">
        <v>22</v>
      </c>
      <c r="M415">
        <v>7</v>
      </c>
      <c r="N415" t="s">
        <v>29</v>
      </c>
      <c r="O415" t="s">
        <v>22</v>
      </c>
      <c r="P415">
        <v>225.5</v>
      </c>
      <c r="Q415">
        <v>30</v>
      </c>
      <c r="R415">
        <v>20</v>
      </c>
      <c r="S415">
        <v>0.14860000000000001</v>
      </c>
    </row>
    <row r="416" spans="1:19" x14ac:dyDescent="0.25">
      <c r="A416">
        <v>1017</v>
      </c>
      <c r="B416">
        <v>1</v>
      </c>
      <c r="C416" t="s">
        <v>34</v>
      </c>
      <c r="D416">
        <v>4.18</v>
      </c>
      <c r="E416">
        <v>1.68</v>
      </c>
      <c r="F416">
        <v>295</v>
      </c>
      <c r="G416">
        <v>116</v>
      </c>
      <c r="H416" t="str">
        <f t="shared" si="60"/>
        <v>壤土</v>
      </c>
      <c r="I416" t="s">
        <v>22</v>
      </c>
      <c r="J416" t="s">
        <v>22</v>
      </c>
      <c r="K416" t="s">
        <v>22</v>
      </c>
      <c r="L416" t="s">
        <v>22</v>
      </c>
      <c r="M416">
        <v>7</v>
      </c>
      <c r="N416" t="s">
        <v>29</v>
      </c>
      <c r="O416" t="s">
        <v>22</v>
      </c>
      <c r="P416">
        <v>225.5</v>
      </c>
      <c r="Q416">
        <v>30</v>
      </c>
      <c r="R416">
        <v>5</v>
      </c>
      <c r="S416">
        <v>0.96450000000000002</v>
      </c>
    </row>
    <row r="417" spans="1:19" x14ac:dyDescent="0.25">
      <c r="A417">
        <v>1017</v>
      </c>
      <c r="B417">
        <v>1</v>
      </c>
      <c r="C417" t="s">
        <v>34</v>
      </c>
      <c r="D417">
        <v>4.18</v>
      </c>
      <c r="E417">
        <v>1.68</v>
      </c>
      <c r="F417">
        <v>295</v>
      </c>
      <c r="G417">
        <v>116</v>
      </c>
      <c r="H417" t="str">
        <f t="shared" si="60"/>
        <v>壤土</v>
      </c>
      <c r="I417" t="s">
        <v>22</v>
      </c>
      <c r="J417" t="s">
        <v>22</v>
      </c>
      <c r="K417" t="s">
        <v>22</v>
      </c>
      <c r="L417" t="s">
        <v>22</v>
      </c>
      <c r="M417">
        <v>7</v>
      </c>
      <c r="N417" t="s">
        <v>29</v>
      </c>
      <c r="O417" t="s">
        <v>22</v>
      </c>
      <c r="P417">
        <v>225.5</v>
      </c>
      <c r="Q417">
        <v>30</v>
      </c>
      <c r="R417">
        <v>10</v>
      </c>
      <c r="S417">
        <v>0.9556</v>
      </c>
    </row>
    <row r="418" spans="1:19" x14ac:dyDescent="0.25">
      <c r="A418">
        <v>1017</v>
      </c>
      <c r="B418">
        <v>1</v>
      </c>
      <c r="C418" t="s">
        <v>34</v>
      </c>
      <c r="D418">
        <v>4.18</v>
      </c>
      <c r="E418">
        <v>1.68</v>
      </c>
      <c r="F418">
        <v>295</v>
      </c>
      <c r="G418">
        <v>116</v>
      </c>
      <c r="H418" t="str">
        <f t="shared" si="60"/>
        <v>壤土</v>
      </c>
      <c r="I418" t="s">
        <v>22</v>
      </c>
      <c r="J418" t="s">
        <v>22</v>
      </c>
      <c r="K418" t="s">
        <v>22</v>
      </c>
      <c r="L418" t="s">
        <v>22</v>
      </c>
      <c r="M418">
        <v>7</v>
      </c>
      <c r="N418" t="s">
        <v>29</v>
      </c>
      <c r="O418" t="s">
        <v>22</v>
      </c>
      <c r="P418">
        <v>225.5</v>
      </c>
      <c r="Q418">
        <v>30</v>
      </c>
      <c r="R418">
        <v>15</v>
      </c>
      <c r="S418">
        <v>0.86699999999999999</v>
      </c>
    </row>
    <row r="419" spans="1:19" x14ac:dyDescent="0.25">
      <c r="A419">
        <v>1017</v>
      </c>
      <c r="B419">
        <v>1</v>
      </c>
      <c r="C419" t="s">
        <v>34</v>
      </c>
      <c r="D419">
        <v>4.18</v>
      </c>
      <c r="E419">
        <v>1.68</v>
      </c>
      <c r="F419">
        <v>295</v>
      </c>
      <c r="G419">
        <v>116</v>
      </c>
      <c r="H419" t="str">
        <f t="shared" si="60"/>
        <v>壤土</v>
      </c>
      <c r="I419" t="s">
        <v>22</v>
      </c>
      <c r="J419" t="s">
        <v>22</v>
      </c>
      <c r="K419" t="s">
        <v>22</v>
      </c>
      <c r="L419" t="s">
        <v>22</v>
      </c>
      <c r="M419">
        <v>7</v>
      </c>
      <c r="N419" t="s">
        <v>29</v>
      </c>
      <c r="O419" t="s">
        <v>22</v>
      </c>
      <c r="P419">
        <v>225.5</v>
      </c>
      <c r="Q419">
        <v>30</v>
      </c>
      <c r="R419">
        <v>20</v>
      </c>
      <c r="S419">
        <v>0.99109999999999998</v>
      </c>
    </row>
    <row r="420" spans="1:19" x14ac:dyDescent="0.25">
      <c r="A420">
        <v>1017</v>
      </c>
      <c r="B420">
        <v>2</v>
      </c>
      <c r="C420" t="s">
        <v>34</v>
      </c>
      <c r="D420">
        <v>4.18</v>
      </c>
      <c r="E420">
        <v>1.68</v>
      </c>
      <c r="F420">
        <v>295</v>
      </c>
      <c r="G420">
        <v>116</v>
      </c>
      <c r="H420" t="str">
        <f t="shared" si="60"/>
        <v>壤土</v>
      </c>
      <c r="I420" t="s">
        <v>22</v>
      </c>
      <c r="J420" t="s">
        <v>22</v>
      </c>
      <c r="K420" t="s">
        <v>22</v>
      </c>
      <c r="L420" t="s">
        <v>22</v>
      </c>
      <c r="M420">
        <v>7</v>
      </c>
      <c r="N420" t="s">
        <v>29</v>
      </c>
      <c r="O420" t="s">
        <v>22</v>
      </c>
      <c r="P420">
        <v>12.5</v>
      </c>
      <c r="Q420">
        <v>30</v>
      </c>
      <c r="R420">
        <v>5</v>
      </c>
      <c r="S420">
        <v>0.12</v>
      </c>
    </row>
    <row r="421" spans="1:19" x14ac:dyDescent="0.25">
      <c r="A421">
        <v>1017</v>
      </c>
      <c r="B421">
        <v>2</v>
      </c>
      <c r="C421" t="s">
        <v>34</v>
      </c>
      <c r="D421">
        <v>4.18</v>
      </c>
      <c r="E421">
        <v>1.68</v>
      </c>
      <c r="F421">
        <v>295</v>
      </c>
      <c r="G421">
        <v>116</v>
      </c>
      <c r="H421" t="str">
        <f t="shared" si="60"/>
        <v>壤土</v>
      </c>
      <c r="I421" t="s">
        <v>22</v>
      </c>
      <c r="J421" t="s">
        <v>22</v>
      </c>
      <c r="K421" t="s">
        <v>22</v>
      </c>
      <c r="L421" t="s">
        <v>22</v>
      </c>
      <c r="M421">
        <v>7</v>
      </c>
      <c r="N421" t="s">
        <v>29</v>
      </c>
      <c r="O421" t="s">
        <v>22</v>
      </c>
      <c r="P421">
        <v>12.5</v>
      </c>
      <c r="Q421">
        <v>30</v>
      </c>
      <c r="R421">
        <v>10</v>
      </c>
      <c r="S421">
        <v>0.04</v>
      </c>
    </row>
    <row r="422" spans="1:19" x14ac:dyDescent="0.25">
      <c r="A422">
        <v>1017</v>
      </c>
      <c r="B422">
        <v>2</v>
      </c>
      <c r="C422" t="s">
        <v>34</v>
      </c>
      <c r="D422">
        <v>4.18</v>
      </c>
      <c r="E422">
        <v>1.68</v>
      </c>
      <c r="F422">
        <v>295</v>
      </c>
      <c r="G422">
        <v>116</v>
      </c>
      <c r="H422" t="str">
        <f t="shared" si="60"/>
        <v>壤土</v>
      </c>
      <c r="I422" t="s">
        <v>22</v>
      </c>
      <c r="J422" t="s">
        <v>22</v>
      </c>
      <c r="K422" t="s">
        <v>22</v>
      </c>
      <c r="L422" t="s">
        <v>22</v>
      </c>
      <c r="M422">
        <v>7</v>
      </c>
      <c r="N422" t="s">
        <v>29</v>
      </c>
      <c r="O422" t="s">
        <v>22</v>
      </c>
      <c r="P422">
        <v>12.5</v>
      </c>
      <c r="Q422">
        <v>30</v>
      </c>
      <c r="R422">
        <v>15</v>
      </c>
      <c r="S422">
        <v>0.2</v>
      </c>
    </row>
    <row r="423" spans="1:19" x14ac:dyDescent="0.25">
      <c r="A423">
        <v>1017</v>
      </c>
      <c r="B423">
        <v>2</v>
      </c>
      <c r="C423" t="s">
        <v>34</v>
      </c>
      <c r="D423">
        <v>4.18</v>
      </c>
      <c r="E423">
        <v>1.68</v>
      </c>
      <c r="F423">
        <v>295</v>
      </c>
      <c r="G423">
        <v>116</v>
      </c>
      <c r="H423" t="str">
        <f t="shared" si="60"/>
        <v>壤土</v>
      </c>
      <c r="I423" t="s">
        <v>22</v>
      </c>
      <c r="J423" t="s">
        <v>22</v>
      </c>
      <c r="K423" t="s">
        <v>22</v>
      </c>
      <c r="L423" t="s">
        <v>22</v>
      </c>
      <c r="M423">
        <v>7</v>
      </c>
      <c r="N423" t="s">
        <v>29</v>
      </c>
      <c r="O423" t="s">
        <v>22</v>
      </c>
      <c r="P423">
        <v>12.5</v>
      </c>
      <c r="Q423">
        <v>30</v>
      </c>
      <c r="R423">
        <v>20</v>
      </c>
      <c r="S423">
        <v>0.36</v>
      </c>
    </row>
    <row r="424" spans="1:19" x14ac:dyDescent="0.25">
      <c r="A424">
        <v>1017</v>
      </c>
      <c r="B424">
        <v>2</v>
      </c>
      <c r="C424" t="s">
        <v>34</v>
      </c>
      <c r="D424">
        <v>4.18</v>
      </c>
      <c r="E424">
        <v>1.68</v>
      </c>
      <c r="F424">
        <v>295</v>
      </c>
      <c r="G424">
        <v>116</v>
      </c>
      <c r="H424" t="str">
        <f t="shared" si="60"/>
        <v>壤土</v>
      </c>
      <c r="I424" t="s">
        <v>22</v>
      </c>
      <c r="J424" t="s">
        <v>22</v>
      </c>
      <c r="K424" t="s">
        <v>22</v>
      </c>
      <c r="L424" t="s">
        <v>22</v>
      </c>
      <c r="M424">
        <v>7</v>
      </c>
      <c r="N424" t="s">
        <v>29</v>
      </c>
      <c r="O424" t="s">
        <v>22</v>
      </c>
      <c r="P424">
        <v>12.5</v>
      </c>
      <c r="Q424">
        <v>30</v>
      </c>
      <c r="R424">
        <v>5</v>
      </c>
      <c r="S424">
        <v>0.872</v>
      </c>
    </row>
    <row r="425" spans="1:19" x14ac:dyDescent="0.25">
      <c r="A425">
        <v>1017</v>
      </c>
      <c r="B425">
        <v>2</v>
      </c>
      <c r="C425" t="s">
        <v>34</v>
      </c>
      <c r="D425">
        <v>4.18</v>
      </c>
      <c r="E425">
        <v>1.68</v>
      </c>
      <c r="F425">
        <v>295</v>
      </c>
      <c r="G425">
        <v>116</v>
      </c>
      <c r="H425" t="str">
        <f t="shared" si="60"/>
        <v>壤土</v>
      </c>
      <c r="I425" t="s">
        <v>22</v>
      </c>
      <c r="J425" t="s">
        <v>22</v>
      </c>
      <c r="K425" t="s">
        <v>22</v>
      </c>
      <c r="L425" t="s">
        <v>22</v>
      </c>
      <c r="M425">
        <v>7</v>
      </c>
      <c r="N425" t="s">
        <v>29</v>
      </c>
      <c r="O425" t="s">
        <v>22</v>
      </c>
      <c r="P425">
        <v>12.5</v>
      </c>
      <c r="Q425">
        <v>30</v>
      </c>
      <c r="R425">
        <v>10</v>
      </c>
      <c r="S425">
        <v>0.8</v>
      </c>
    </row>
    <row r="426" spans="1:19" x14ac:dyDescent="0.25">
      <c r="A426">
        <v>1017</v>
      </c>
      <c r="B426">
        <v>2</v>
      </c>
      <c r="C426" t="s">
        <v>34</v>
      </c>
      <c r="D426">
        <v>4.18</v>
      </c>
      <c r="E426">
        <v>1.68</v>
      </c>
      <c r="F426">
        <v>295</v>
      </c>
      <c r="G426">
        <v>116</v>
      </c>
      <c r="H426" t="str">
        <f t="shared" si="60"/>
        <v>壤土</v>
      </c>
      <c r="I426" t="s">
        <v>22</v>
      </c>
      <c r="J426" t="s">
        <v>22</v>
      </c>
      <c r="K426" t="s">
        <v>22</v>
      </c>
      <c r="L426" t="s">
        <v>22</v>
      </c>
      <c r="M426">
        <v>7</v>
      </c>
      <c r="N426" t="s">
        <v>29</v>
      </c>
      <c r="O426" t="s">
        <v>22</v>
      </c>
      <c r="P426">
        <v>12.5</v>
      </c>
      <c r="Q426">
        <v>30</v>
      </c>
      <c r="R426">
        <v>15</v>
      </c>
      <c r="S426">
        <v>0.63200000000000001</v>
      </c>
    </row>
    <row r="427" spans="1:19" x14ac:dyDescent="0.25">
      <c r="A427">
        <v>1017</v>
      </c>
      <c r="B427">
        <v>2</v>
      </c>
      <c r="C427" t="s">
        <v>34</v>
      </c>
      <c r="D427">
        <v>4.18</v>
      </c>
      <c r="E427">
        <v>1.68</v>
      </c>
      <c r="F427">
        <v>295</v>
      </c>
      <c r="G427">
        <v>116</v>
      </c>
      <c r="H427" t="str">
        <f t="shared" si="60"/>
        <v>壤土</v>
      </c>
      <c r="I427" t="s">
        <v>22</v>
      </c>
      <c r="J427" t="s">
        <v>22</v>
      </c>
      <c r="K427" t="s">
        <v>22</v>
      </c>
      <c r="L427" t="s">
        <v>22</v>
      </c>
      <c r="M427">
        <v>7</v>
      </c>
      <c r="N427" t="s">
        <v>29</v>
      </c>
      <c r="O427" t="s">
        <v>22</v>
      </c>
      <c r="P427">
        <v>12.5</v>
      </c>
      <c r="Q427">
        <v>30</v>
      </c>
      <c r="R427">
        <v>20</v>
      </c>
      <c r="S427">
        <v>0.89600000000000002</v>
      </c>
    </row>
    <row r="428" spans="1:19" x14ac:dyDescent="0.25">
      <c r="A428">
        <v>1018</v>
      </c>
      <c r="B428">
        <v>1</v>
      </c>
      <c r="C428" t="s">
        <v>19</v>
      </c>
      <c r="D428">
        <v>4.95</v>
      </c>
      <c r="E428">
        <v>31.7</v>
      </c>
      <c r="F428">
        <v>171.19</v>
      </c>
      <c r="G428">
        <v>412.27</v>
      </c>
      <c r="H428" t="s">
        <v>20</v>
      </c>
      <c r="I428" t="s">
        <v>22</v>
      </c>
      <c r="J428">
        <v>500</v>
      </c>
      <c r="K428" t="s">
        <v>22</v>
      </c>
      <c r="L428">
        <v>71</v>
      </c>
      <c r="M428">
        <v>8.1</v>
      </c>
      <c r="N428" t="s">
        <v>23</v>
      </c>
      <c r="O428">
        <v>40</v>
      </c>
      <c r="P428">
        <v>2773.2</v>
      </c>
      <c r="Q428">
        <v>25</v>
      </c>
      <c r="R428">
        <v>60</v>
      </c>
      <c r="S428">
        <v>0.98060000000000003</v>
      </c>
    </row>
    <row r="429" spans="1:19" x14ac:dyDescent="0.25">
      <c r="A429">
        <v>1018</v>
      </c>
      <c r="B429">
        <v>1</v>
      </c>
      <c r="C429" t="s">
        <v>19</v>
      </c>
      <c r="D429">
        <v>4.95</v>
      </c>
      <c r="E429">
        <v>31.7</v>
      </c>
      <c r="F429">
        <v>171.19</v>
      </c>
      <c r="G429">
        <v>412.27</v>
      </c>
      <c r="H429" t="str">
        <f>H428</f>
        <v>壤土</v>
      </c>
      <c r="I429" t="s">
        <v>22</v>
      </c>
      <c r="J429">
        <v>500</v>
      </c>
      <c r="K429" t="s">
        <v>22</v>
      </c>
      <c r="L429">
        <v>71</v>
      </c>
      <c r="M429">
        <v>8.1</v>
      </c>
      <c r="N429" t="s">
        <v>23</v>
      </c>
      <c r="O429">
        <v>40</v>
      </c>
      <c r="P429">
        <v>2773.2</v>
      </c>
      <c r="Q429">
        <v>25</v>
      </c>
      <c r="R429">
        <v>60</v>
      </c>
      <c r="S429">
        <v>0.97430000000000005</v>
      </c>
    </row>
    <row r="430" spans="1:19" x14ac:dyDescent="0.25">
      <c r="A430">
        <v>1018</v>
      </c>
      <c r="B430">
        <v>2</v>
      </c>
      <c r="C430" t="s">
        <v>19</v>
      </c>
      <c r="D430">
        <v>4.95</v>
      </c>
      <c r="E430">
        <v>31.7</v>
      </c>
      <c r="F430">
        <v>171.19</v>
      </c>
      <c r="G430">
        <v>412.27</v>
      </c>
      <c r="H430" t="str">
        <f t="shared" ref="H430:H435" si="61">H429</f>
        <v>壤土</v>
      </c>
      <c r="I430" t="s">
        <v>22</v>
      </c>
      <c r="J430">
        <v>400</v>
      </c>
      <c r="K430" t="s">
        <v>22</v>
      </c>
      <c r="L430">
        <v>71</v>
      </c>
      <c r="M430">
        <v>8.1</v>
      </c>
      <c r="N430" t="s">
        <v>23</v>
      </c>
      <c r="O430">
        <v>40</v>
      </c>
      <c r="P430">
        <v>337.3</v>
      </c>
      <c r="Q430">
        <v>25</v>
      </c>
      <c r="R430">
        <v>30</v>
      </c>
      <c r="S430">
        <v>0.76900000000000002</v>
      </c>
    </row>
    <row r="431" spans="1:19" x14ac:dyDescent="0.25">
      <c r="A431">
        <v>1018</v>
      </c>
      <c r="B431">
        <v>2</v>
      </c>
      <c r="C431" t="s">
        <v>19</v>
      </c>
      <c r="D431">
        <v>4.95</v>
      </c>
      <c r="E431">
        <v>31.7</v>
      </c>
      <c r="F431">
        <v>171.19</v>
      </c>
      <c r="G431">
        <v>412.27</v>
      </c>
      <c r="H431" t="str">
        <f t="shared" si="61"/>
        <v>壤土</v>
      </c>
      <c r="I431" t="s">
        <v>22</v>
      </c>
      <c r="J431">
        <v>400</v>
      </c>
      <c r="K431" t="s">
        <v>22</v>
      </c>
      <c r="L431">
        <v>71</v>
      </c>
      <c r="M431">
        <v>8.1</v>
      </c>
      <c r="N431" t="s">
        <v>23</v>
      </c>
      <c r="O431">
        <v>40</v>
      </c>
      <c r="P431">
        <v>337.3</v>
      </c>
      <c r="Q431">
        <v>25</v>
      </c>
      <c r="R431">
        <v>30</v>
      </c>
      <c r="S431">
        <v>0.74270000000000003</v>
      </c>
    </row>
    <row r="432" spans="1:19" x14ac:dyDescent="0.25">
      <c r="A432">
        <v>1018</v>
      </c>
      <c r="B432">
        <v>2</v>
      </c>
      <c r="C432" t="s">
        <v>19</v>
      </c>
      <c r="D432">
        <v>4.95</v>
      </c>
      <c r="E432">
        <v>31.7</v>
      </c>
      <c r="F432">
        <v>171.19</v>
      </c>
      <c r="G432">
        <v>412.27</v>
      </c>
      <c r="H432" t="str">
        <f t="shared" si="61"/>
        <v>壤土</v>
      </c>
      <c r="I432" t="s">
        <v>22</v>
      </c>
      <c r="J432">
        <v>400</v>
      </c>
      <c r="K432" t="s">
        <v>22</v>
      </c>
      <c r="L432">
        <f>L428</f>
        <v>71</v>
      </c>
      <c r="M432">
        <v>8.1</v>
      </c>
      <c r="N432" t="s">
        <v>23</v>
      </c>
      <c r="O432">
        <v>40</v>
      </c>
      <c r="P432">
        <v>337.3</v>
      </c>
      <c r="Q432">
        <v>25</v>
      </c>
      <c r="R432">
        <v>30</v>
      </c>
      <c r="S432">
        <v>0.8488</v>
      </c>
    </row>
    <row r="433" spans="1:19" x14ac:dyDescent="0.25">
      <c r="A433">
        <v>1018</v>
      </c>
      <c r="B433">
        <v>3</v>
      </c>
      <c r="C433" t="s">
        <v>19</v>
      </c>
      <c r="D433">
        <v>4.95</v>
      </c>
      <c r="E433">
        <v>31.7</v>
      </c>
      <c r="F433">
        <v>171.19</v>
      </c>
      <c r="G433">
        <v>412.27</v>
      </c>
      <c r="H433" t="str">
        <f t="shared" si="61"/>
        <v>壤土</v>
      </c>
      <c r="I433" t="s">
        <v>22</v>
      </c>
      <c r="J433">
        <v>150</v>
      </c>
      <c r="K433" t="s">
        <v>22</v>
      </c>
      <c r="L433">
        <v>21</v>
      </c>
      <c r="M433">
        <v>7.96</v>
      </c>
      <c r="N433" t="s">
        <v>23</v>
      </c>
      <c r="O433">
        <v>40</v>
      </c>
      <c r="P433">
        <v>183.2</v>
      </c>
      <c r="Q433">
        <v>25</v>
      </c>
      <c r="R433">
        <v>30</v>
      </c>
      <c r="S433">
        <v>0.72219999999999995</v>
      </c>
    </row>
    <row r="434" spans="1:19" x14ac:dyDescent="0.25">
      <c r="A434">
        <v>1018</v>
      </c>
      <c r="B434">
        <v>3</v>
      </c>
      <c r="C434" t="s">
        <v>19</v>
      </c>
      <c r="D434">
        <v>4.95</v>
      </c>
      <c r="E434">
        <v>31.7</v>
      </c>
      <c r="F434">
        <v>171.19</v>
      </c>
      <c r="G434">
        <v>412.27</v>
      </c>
      <c r="H434" t="str">
        <f t="shared" si="61"/>
        <v>壤土</v>
      </c>
      <c r="I434" t="s">
        <v>22</v>
      </c>
      <c r="J434">
        <v>150</v>
      </c>
      <c r="K434" t="s">
        <v>22</v>
      </c>
      <c r="L434">
        <v>21</v>
      </c>
      <c r="M434">
        <v>7.96</v>
      </c>
      <c r="N434" t="s">
        <v>23</v>
      </c>
      <c r="O434">
        <v>40</v>
      </c>
      <c r="P434">
        <v>183.2</v>
      </c>
      <c r="Q434">
        <v>25</v>
      </c>
      <c r="R434">
        <v>30</v>
      </c>
      <c r="S434">
        <v>0.73529999999999995</v>
      </c>
    </row>
    <row r="435" spans="1:19" x14ac:dyDescent="0.25">
      <c r="A435">
        <v>1018</v>
      </c>
      <c r="B435">
        <v>3</v>
      </c>
      <c r="C435" t="s">
        <v>19</v>
      </c>
      <c r="D435">
        <v>4.95</v>
      </c>
      <c r="E435">
        <v>31.7</v>
      </c>
      <c r="F435">
        <v>171.19</v>
      </c>
      <c r="G435">
        <v>412.27</v>
      </c>
      <c r="H435" t="str">
        <f t="shared" si="61"/>
        <v>壤土</v>
      </c>
      <c r="I435" t="s">
        <v>22</v>
      </c>
      <c r="J435">
        <v>150</v>
      </c>
      <c r="K435" t="s">
        <v>22</v>
      </c>
      <c r="L435">
        <v>21</v>
      </c>
      <c r="M435">
        <v>7.96</v>
      </c>
      <c r="N435" t="s">
        <v>23</v>
      </c>
      <c r="O435">
        <v>40</v>
      </c>
      <c r="P435">
        <v>183.2</v>
      </c>
      <c r="Q435">
        <v>25</v>
      </c>
      <c r="R435">
        <v>30</v>
      </c>
      <c r="S435">
        <v>0.88859999999999995</v>
      </c>
    </row>
    <row r="436" spans="1:19" x14ac:dyDescent="0.25">
      <c r="A436">
        <v>1019</v>
      </c>
      <c r="B436">
        <v>1</v>
      </c>
      <c r="C436" t="s">
        <v>28</v>
      </c>
      <c r="D436">
        <v>4.57</v>
      </c>
      <c r="E436">
        <v>1.1000000000000001</v>
      </c>
      <c r="F436">
        <v>340</v>
      </c>
      <c r="G436">
        <v>101</v>
      </c>
      <c r="H436" t="s">
        <v>22</v>
      </c>
      <c r="I436" t="s">
        <v>22</v>
      </c>
      <c r="J436" t="s">
        <v>22</v>
      </c>
      <c r="K436" t="s">
        <v>22</v>
      </c>
      <c r="L436">
        <v>89.23</v>
      </c>
      <c r="M436">
        <v>8.1999999999999993</v>
      </c>
      <c r="N436" t="s">
        <v>29</v>
      </c>
      <c r="O436" t="s">
        <v>22</v>
      </c>
      <c r="P436">
        <v>30</v>
      </c>
      <c r="Q436">
        <v>30</v>
      </c>
      <c r="R436">
        <v>10</v>
      </c>
      <c r="S436">
        <v>1.2500000000000001E-2</v>
      </c>
    </row>
    <row r="437" spans="1:19" x14ac:dyDescent="0.25">
      <c r="A437">
        <v>1019</v>
      </c>
      <c r="B437">
        <v>1</v>
      </c>
      <c r="C437" t="s">
        <v>28</v>
      </c>
      <c r="D437">
        <v>4.57</v>
      </c>
      <c r="E437">
        <v>1.1000000000000001</v>
      </c>
      <c r="F437">
        <v>340</v>
      </c>
      <c r="G437">
        <v>101</v>
      </c>
      <c r="H437" t="s">
        <v>22</v>
      </c>
      <c r="I437" t="s">
        <v>22</v>
      </c>
      <c r="J437" t="s">
        <v>22</v>
      </c>
      <c r="K437" t="s">
        <v>22</v>
      </c>
      <c r="L437">
        <v>89.23</v>
      </c>
      <c r="M437">
        <v>8.1999999999999993</v>
      </c>
      <c r="N437" t="s">
        <v>29</v>
      </c>
      <c r="O437" t="s">
        <v>22</v>
      </c>
      <c r="P437">
        <v>30</v>
      </c>
      <c r="Q437">
        <v>30</v>
      </c>
      <c r="R437">
        <v>20</v>
      </c>
      <c r="S437">
        <v>2.5000000000000001E-2</v>
      </c>
    </row>
    <row r="438" spans="1:19" x14ac:dyDescent="0.25">
      <c r="A438">
        <v>1019</v>
      </c>
      <c r="B438">
        <v>1</v>
      </c>
      <c r="C438" t="s">
        <v>28</v>
      </c>
      <c r="D438">
        <v>4.57</v>
      </c>
      <c r="E438">
        <v>1.1000000000000001</v>
      </c>
      <c r="F438">
        <v>340</v>
      </c>
      <c r="G438">
        <v>101</v>
      </c>
      <c r="H438" t="s">
        <v>22</v>
      </c>
      <c r="I438" t="s">
        <v>22</v>
      </c>
      <c r="J438" t="s">
        <v>22</v>
      </c>
      <c r="K438" t="s">
        <v>22</v>
      </c>
      <c r="L438">
        <v>89.23</v>
      </c>
      <c r="M438">
        <v>8.1999999999999993</v>
      </c>
      <c r="N438" t="s">
        <v>29</v>
      </c>
      <c r="O438" t="s">
        <v>22</v>
      </c>
      <c r="P438">
        <v>30</v>
      </c>
      <c r="Q438">
        <v>30</v>
      </c>
      <c r="R438">
        <v>30</v>
      </c>
      <c r="S438">
        <v>2.9000000000000001E-2</v>
      </c>
    </row>
    <row r="439" spans="1:19" x14ac:dyDescent="0.25">
      <c r="A439">
        <v>1019</v>
      </c>
      <c r="B439">
        <v>1</v>
      </c>
      <c r="C439" t="s">
        <v>28</v>
      </c>
      <c r="D439">
        <v>4.57</v>
      </c>
      <c r="E439">
        <v>1.1000000000000001</v>
      </c>
      <c r="F439">
        <v>340</v>
      </c>
      <c r="G439">
        <v>101</v>
      </c>
      <c r="H439" t="s">
        <v>22</v>
      </c>
      <c r="I439" t="s">
        <v>22</v>
      </c>
      <c r="J439" t="s">
        <v>22</v>
      </c>
      <c r="K439" t="s">
        <v>22</v>
      </c>
      <c r="L439">
        <v>89.23</v>
      </c>
      <c r="M439">
        <v>8.1999999999999993</v>
      </c>
      <c r="N439" t="s">
        <v>29</v>
      </c>
      <c r="O439" t="s">
        <v>22</v>
      </c>
      <c r="P439">
        <v>30</v>
      </c>
      <c r="Q439">
        <v>30</v>
      </c>
      <c r="R439">
        <v>40</v>
      </c>
      <c r="S439">
        <v>4.4999999999999998E-2</v>
      </c>
    </row>
    <row r="440" spans="1:19" x14ac:dyDescent="0.25">
      <c r="A440">
        <v>1019</v>
      </c>
      <c r="B440">
        <v>1</v>
      </c>
      <c r="C440" t="s">
        <v>28</v>
      </c>
      <c r="D440">
        <v>4.57</v>
      </c>
      <c r="E440">
        <v>1.1000000000000001</v>
      </c>
      <c r="F440">
        <v>340</v>
      </c>
      <c r="G440">
        <v>101</v>
      </c>
      <c r="H440" t="s">
        <v>22</v>
      </c>
      <c r="I440" t="s">
        <v>22</v>
      </c>
      <c r="J440" t="s">
        <v>22</v>
      </c>
      <c r="K440" t="s">
        <v>22</v>
      </c>
      <c r="L440">
        <v>89.23</v>
      </c>
      <c r="M440">
        <v>8.1999999999999993</v>
      </c>
      <c r="N440" t="s">
        <v>29</v>
      </c>
      <c r="O440" t="s">
        <v>22</v>
      </c>
      <c r="P440">
        <v>30</v>
      </c>
      <c r="Q440">
        <v>30</v>
      </c>
      <c r="R440">
        <v>50</v>
      </c>
      <c r="S440">
        <v>4.7300000000000002E-2</v>
      </c>
    </row>
    <row r="441" spans="1:19" x14ac:dyDescent="0.25">
      <c r="A441">
        <v>1019</v>
      </c>
      <c r="B441">
        <v>1</v>
      </c>
      <c r="C441" t="s">
        <v>28</v>
      </c>
      <c r="D441">
        <v>4.57</v>
      </c>
      <c r="E441">
        <v>1.1000000000000001</v>
      </c>
      <c r="F441">
        <v>340</v>
      </c>
      <c r="G441">
        <v>101</v>
      </c>
      <c r="H441" t="s">
        <v>22</v>
      </c>
      <c r="I441" t="s">
        <v>22</v>
      </c>
      <c r="J441" t="s">
        <v>22</v>
      </c>
      <c r="K441" t="s">
        <v>22</v>
      </c>
      <c r="L441">
        <v>89.23</v>
      </c>
      <c r="M441">
        <v>8.1999999999999993</v>
      </c>
      <c r="N441" t="s">
        <v>29</v>
      </c>
      <c r="O441" t="s">
        <v>22</v>
      </c>
      <c r="P441">
        <v>30</v>
      </c>
      <c r="Q441">
        <v>30</v>
      </c>
      <c r="R441">
        <v>60</v>
      </c>
      <c r="S441">
        <v>4.7199999999999999E-2</v>
      </c>
    </row>
    <row r="442" spans="1:19" x14ac:dyDescent="0.25">
      <c r="A442">
        <v>1019</v>
      </c>
      <c r="B442">
        <v>1</v>
      </c>
      <c r="C442" t="s">
        <v>28</v>
      </c>
      <c r="D442">
        <v>4.57</v>
      </c>
      <c r="E442">
        <v>1.1000000000000001</v>
      </c>
      <c r="F442">
        <v>340</v>
      </c>
      <c r="G442">
        <v>101</v>
      </c>
      <c r="H442" t="s">
        <v>22</v>
      </c>
      <c r="I442" t="s">
        <v>22</v>
      </c>
      <c r="J442" t="s">
        <v>22</v>
      </c>
      <c r="K442" t="s">
        <v>22</v>
      </c>
      <c r="L442">
        <v>89.23</v>
      </c>
      <c r="M442">
        <v>8.1999999999999993</v>
      </c>
      <c r="N442" t="s">
        <v>29</v>
      </c>
      <c r="O442" t="s">
        <v>22</v>
      </c>
      <c r="P442">
        <v>30</v>
      </c>
      <c r="Q442">
        <v>30</v>
      </c>
      <c r="R442">
        <v>70</v>
      </c>
      <c r="S442">
        <v>4.7100000000000003E-2</v>
      </c>
    </row>
    <row r="443" spans="1:19" x14ac:dyDescent="0.25">
      <c r="A443">
        <v>1019</v>
      </c>
      <c r="B443">
        <v>1</v>
      </c>
      <c r="C443" t="s">
        <v>28</v>
      </c>
      <c r="D443">
        <v>4.57</v>
      </c>
      <c r="E443">
        <v>1.1000000000000001</v>
      </c>
      <c r="F443">
        <v>340</v>
      </c>
      <c r="G443">
        <v>101</v>
      </c>
      <c r="H443" t="s">
        <v>22</v>
      </c>
      <c r="I443" t="s">
        <v>22</v>
      </c>
      <c r="J443" t="s">
        <v>22</v>
      </c>
      <c r="K443" t="s">
        <v>22</v>
      </c>
      <c r="L443">
        <v>89.23</v>
      </c>
      <c r="M443">
        <v>8.1999999999999993</v>
      </c>
      <c r="N443" t="s">
        <v>29</v>
      </c>
      <c r="O443" t="s">
        <v>22</v>
      </c>
      <c r="P443">
        <v>30</v>
      </c>
      <c r="Q443">
        <v>30</v>
      </c>
      <c r="R443">
        <v>80</v>
      </c>
      <c r="S443">
        <v>4.7500000000000001E-2</v>
      </c>
    </row>
    <row r="444" spans="1:19" x14ac:dyDescent="0.25">
      <c r="A444">
        <v>1019</v>
      </c>
      <c r="B444">
        <v>1</v>
      </c>
      <c r="C444" t="s">
        <v>28</v>
      </c>
      <c r="D444">
        <v>4.57</v>
      </c>
      <c r="E444">
        <v>1.1000000000000001</v>
      </c>
      <c r="F444">
        <v>340</v>
      </c>
      <c r="G444">
        <v>101</v>
      </c>
      <c r="H444" t="s">
        <v>22</v>
      </c>
      <c r="I444" t="s">
        <v>22</v>
      </c>
      <c r="J444" t="s">
        <v>22</v>
      </c>
      <c r="K444" t="s">
        <v>22</v>
      </c>
      <c r="L444">
        <v>89.23</v>
      </c>
      <c r="M444">
        <v>8.1999999999999993</v>
      </c>
      <c r="N444" t="s">
        <v>29</v>
      </c>
      <c r="O444" t="s">
        <v>22</v>
      </c>
      <c r="P444">
        <v>30</v>
      </c>
      <c r="Q444">
        <v>30</v>
      </c>
      <c r="R444">
        <v>90</v>
      </c>
      <c r="S444">
        <v>4.7399999999999998E-2</v>
      </c>
    </row>
    <row r="445" spans="1:19" x14ac:dyDescent="0.25">
      <c r="A445">
        <v>1019</v>
      </c>
      <c r="B445">
        <v>1</v>
      </c>
      <c r="C445" t="s">
        <v>28</v>
      </c>
      <c r="D445">
        <v>4.57</v>
      </c>
      <c r="E445">
        <v>1.1000000000000001</v>
      </c>
      <c r="F445">
        <v>340</v>
      </c>
      <c r="G445">
        <v>101</v>
      </c>
      <c r="H445" t="s">
        <v>22</v>
      </c>
      <c r="I445" t="s">
        <v>22</v>
      </c>
      <c r="J445" t="s">
        <v>22</v>
      </c>
      <c r="K445" t="s">
        <v>22</v>
      </c>
      <c r="L445">
        <v>89.23</v>
      </c>
      <c r="M445">
        <v>8.1999999999999993</v>
      </c>
      <c r="N445" t="s">
        <v>29</v>
      </c>
      <c r="O445" t="s">
        <v>22</v>
      </c>
      <c r="P445">
        <v>30</v>
      </c>
      <c r="Q445">
        <v>30</v>
      </c>
      <c r="R445">
        <v>100</v>
      </c>
      <c r="S445">
        <v>4.7500000000000001E-2</v>
      </c>
    </row>
    <row r="446" spans="1:19" x14ac:dyDescent="0.25">
      <c r="A446">
        <v>1019</v>
      </c>
      <c r="B446">
        <v>1</v>
      </c>
      <c r="C446" t="s">
        <v>28</v>
      </c>
      <c r="D446">
        <v>4.57</v>
      </c>
      <c r="E446">
        <v>1.1000000000000001</v>
      </c>
      <c r="F446">
        <v>340</v>
      </c>
      <c r="G446">
        <v>101</v>
      </c>
      <c r="H446" t="s">
        <v>22</v>
      </c>
      <c r="I446" t="s">
        <v>22</v>
      </c>
      <c r="J446" t="s">
        <v>22</v>
      </c>
      <c r="K446" t="s">
        <v>22</v>
      </c>
      <c r="L446">
        <v>89.23</v>
      </c>
      <c r="M446">
        <v>8.1999999999999993</v>
      </c>
      <c r="N446" t="s">
        <v>29</v>
      </c>
      <c r="O446" t="s">
        <v>22</v>
      </c>
      <c r="P446">
        <v>30</v>
      </c>
      <c r="Q446">
        <v>30</v>
      </c>
      <c r="R446">
        <v>105</v>
      </c>
      <c r="S446">
        <v>4.7500000000000001E-2</v>
      </c>
    </row>
    <row r="447" spans="1:19" x14ac:dyDescent="0.25">
      <c r="A447">
        <v>1019</v>
      </c>
      <c r="B447">
        <v>1</v>
      </c>
      <c r="C447" t="s">
        <v>35</v>
      </c>
      <c r="D447">
        <v>5.18</v>
      </c>
      <c r="E447">
        <v>0.13200000000000001</v>
      </c>
      <c r="F447">
        <v>393</v>
      </c>
      <c r="G447">
        <v>150</v>
      </c>
      <c r="H447" t="s">
        <v>22</v>
      </c>
      <c r="I447" t="s">
        <v>22</v>
      </c>
      <c r="J447" t="s">
        <v>22</v>
      </c>
      <c r="K447" t="s">
        <v>22</v>
      </c>
      <c r="L447">
        <v>89.23</v>
      </c>
      <c r="M447">
        <v>8.1999999999999993</v>
      </c>
      <c r="N447" t="s">
        <v>32</v>
      </c>
      <c r="O447" t="s">
        <v>22</v>
      </c>
      <c r="P447">
        <v>30</v>
      </c>
      <c r="Q447">
        <v>30</v>
      </c>
      <c r="R447">
        <v>10</v>
      </c>
      <c r="S447">
        <v>0.01</v>
      </c>
    </row>
    <row r="448" spans="1:19" x14ac:dyDescent="0.25">
      <c r="A448">
        <v>1019</v>
      </c>
      <c r="B448">
        <v>1</v>
      </c>
      <c r="C448" t="s">
        <v>35</v>
      </c>
      <c r="D448">
        <v>5.18</v>
      </c>
      <c r="E448">
        <v>0.13200000000000001</v>
      </c>
      <c r="F448">
        <v>393</v>
      </c>
      <c r="G448">
        <v>150</v>
      </c>
      <c r="H448" t="s">
        <v>22</v>
      </c>
      <c r="I448" t="s">
        <v>22</v>
      </c>
      <c r="J448" t="s">
        <v>22</v>
      </c>
      <c r="K448" t="s">
        <v>22</v>
      </c>
      <c r="L448">
        <v>89.23</v>
      </c>
      <c r="M448">
        <v>8.1999999999999993</v>
      </c>
      <c r="N448" t="s">
        <v>32</v>
      </c>
      <c r="O448" t="s">
        <v>22</v>
      </c>
      <c r="P448">
        <v>30</v>
      </c>
      <c r="Q448">
        <v>30</v>
      </c>
      <c r="R448">
        <v>20</v>
      </c>
      <c r="S448">
        <v>0.02</v>
      </c>
    </row>
    <row r="449" spans="1:19" x14ac:dyDescent="0.25">
      <c r="A449">
        <v>1019</v>
      </c>
      <c r="B449">
        <v>1</v>
      </c>
      <c r="C449" t="s">
        <v>35</v>
      </c>
      <c r="D449">
        <v>5.18</v>
      </c>
      <c r="E449">
        <v>0.13200000000000001</v>
      </c>
      <c r="F449">
        <v>393</v>
      </c>
      <c r="G449">
        <v>150</v>
      </c>
      <c r="H449" t="s">
        <v>22</v>
      </c>
      <c r="I449" t="s">
        <v>22</v>
      </c>
      <c r="J449" t="s">
        <v>22</v>
      </c>
      <c r="K449" t="s">
        <v>22</v>
      </c>
      <c r="L449">
        <v>89.23</v>
      </c>
      <c r="M449">
        <v>8.1999999999999993</v>
      </c>
      <c r="N449" t="s">
        <v>32</v>
      </c>
      <c r="O449" t="s">
        <v>22</v>
      </c>
      <c r="P449">
        <v>30</v>
      </c>
      <c r="Q449">
        <v>30</v>
      </c>
      <c r="R449">
        <v>30</v>
      </c>
      <c r="S449">
        <v>2.5000000000000001E-2</v>
      </c>
    </row>
    <row r="450" spans="1:19" x14ac:dyDescent="0.25">
      <c r="A450">
        <v>1019</v>
      </c>
      <c r="B450">
        <v>1</v>
      </c>
      <c r="C450" t="s">
        <v>35</v>
      </c>
      <c r="D450">
        <v>5.18</v>
      </c>
      <c r="E450">
        <v>0.13200000000000001</v>
      </c>
      <c r="F450">
        <v>393</v>
      </c>
      <c r="G450">
        <v>150</v>
      </c>
      <c r="H450" t="s">
        <v>22</v>
      </c>
      <c r="I450" t="s">
        <v>22</v>
      </c>
      <c r="J450" t="s">
        <v>22</v>
      </c>
      <c r="K450" t="s">
        <v>22</v>
      </c>
      <c r="L450">
        <v>89.23</v>
      </c>
      <c r="M450">
        <v>8.1999999999999993</v>
      </c>
      <c r="N450" t="s">
        <v>32</v>
      </c>
      <c r="O450" t="s">
        <v>22</v>
      </c>
      <c r="P450">
        <v>30</v>
      </c>
      <c r="Q450">
        <v>30</v>
      </c>
      <c r="R450">
        <v>40</v>
      </c>
      <c r="S450">
        <v>2.8000000000000001E-2</v>
      </c>
    </row>
    <row r="451" spans="1:19" x14ac:dyDescent="0.25">
      <c r="A451">
        <v>1019</v>
      </c>
      <c r="B451">
        <v>1</v>
      </c>
      <c r="C451" t="s">
        <v>35</v>
      </c>
      <c r="D451">
        <v>5.18</v>
      </c>
      <c r="E451">
        <v>0.13200000000000001</v>
      </c>
      <c r="F451">
        <v>393</v>
      </c>
      <c r="G451">
        <v>150</v>
      </c>
      <c r="H451" t="s">
        <v>22</v>
      </c>
      <c r="I451" t="s">
        <v>22</v>
      </c>
      <c r="J451" t="s">
        <v>22</v>
      </c>
      <c r="K451" t="s">
        <v>22</v>
      </c>
      <c r="L451">
        <v>89.23</v>
      </c>
      <c r="M451">
        <v>8.1999999999999993</v>
      </c>
      <c r="N451" t="s">
        <v>32</v>
      </c>
      <c r="O451" t="s">
        <v>22</v>
      </c>
      <c r="P451">
        <v>30</v>
      </c>
      <c r="Q451">
        <v>30</v>
      </c>
      <c r="R451">
        <v>50</v>
      </c>
      <c r="S451">
        <v>0.03</v>
      </c>
    </row>
    <row r="452" spans="1:19" x14ac:dyDescent="0.25">
      <c r="A452">
        <v>1019</v>
      </c>
      <c r="B452">
        <v>1</v>
      </c>
      <c r="C452" t="s">
        <v>35</v>
      </c>
      <c r="D452">
        <v>5.18</v>
      </c>
      <c r="E452">
        <v>0.13200000000000001</v>
      </c>
      <c r="F452">
        <v>393</v>
      </c>
      <c r="G452">
        <v>150</v>
      </c>
      <c r="H452" t="s">
        <v>22</v>
      </c>
      <c r="I452" t="s">
        <v>22</v>
      </c>
      <c r="J452" t="s">
        <v>22</v>
      </c>
      <c r="K452" t="s">
        <v>22</v>
      </c>
      <c r="L452">
        <v>89.23</v>
      </c>
      <c r="M452">
        <v>8.1999999999999993</v>
      </c>
      <c r="N452" t="s">
        <v>32</v>
      </c>
      <c r="O452" t="s">
        <v>22</v>
      </c>
      <c r="P452">
        <v>30</v>
      </c>
      <c r="Q452">
        <v>30</v>
      </c>
      <c r="R452">
        <v>60</v>
      </c>
      <c r="S452">
        <v>3.2000000000000001E-2</v>
      </c>
    </row>
    <row r="453" spans="1:19" x14ac:dyDescent="0.25">
      <c r="A453">
        <v>1019</v>
      </c>
      <c r="B453">
        <v>1</v>
      </c>
      <c r="C453" t="s">
        <v>35</v>
      </c>
      <c r="D453">
        <v>5.18</v>
      </c>
      <c r="E453">
        <v>0.13200000000000001</v>
      </c>
      <c r="F453">
        <v>393</v>
      </c>
      <c r="G453">
        <v>150</v>
      </c>
      <c r="H453" t="s">
        <v>22</v>
      </c>
      <c r="I453" t="s">
        <v>22</v>
      </c>
      <c r="J453" t="s">
        <v>22</v>
      </c>
      <c r="K453" t="s">
        <v>22</v>
      </c>
      <c r="L453">
        <v>89.23</v>
      </c>
      <c r="M453">
        <v>8.1999999999999993</v>
      </c>
      <c r="N453" t="s">
        <v>32</v>
      </c>
      <c r="O453" t="s">
        <v>22</v>
      </c>
      <c r="P453">
        <v>30</v>
      </c>
      <c r="Q453">
        <v>30</v>
      </c>
      <c r="R453">
        <v>70</v>
      </c>
      <c r="S453">
        <v>3.2500000000000001E-2</v>
      </c>
    </row>
    <row r="454" spans="1:19" x14ac:dyDescent="0.25">
      <c r="A454">
        <v>1019</v>
      </c>
      <c r="B454">
        <v>1</v>
      </c>
      <c r="C454" t="s">
        <v>35</v>
      </c>
      <c r="D454">
        <v>5.18</v>
      </c>
      <c r="E454">
        <v>0.13200000000000001</v>
      </c>
      <c r="F454">
        <v>393</v>
      </c>
      <c r="G454">
        <v>150</v>
      </c>
      <c r="H454" t="s">
        <v>22</v>
      </c>
      <c r="I454" t="s">
        <v>22</v>
      </c>
      <c r="J454" t="s">
        <v>22</v>
      </c>
      <c r="K454" t="s">
        <v>22</v>
      </c>
      <c r="L454">
        <v>89.23</v>
      </c>
      <c r="M454">
        <v>8.1999999999999993</v>
      </c>
      <c r="N454" t="s">
        <v>32</v>
      </c>
      <c r="O454" t="s">
        <v>22</v>
      </c>
      <c r="P454">
        <v>30</v>
      </c>
      <c r="Q454">
        <v>30</v>
      </c>
      <c r="R454">
        <v>80</v>
      </c>
      <c r="S454">
        <v>4.7500000000000001E-2</v>
      </c>
    </row>
    <row r="455" spans="1:19" x14ac:dyDescent="0.25">
      <c r="A455">
        <v>1019</v>
      </c>
      <c r="B455">
        <v>1</v>
      </c>
      <c r="C455" t="s">
        <v>35</v>
      </c>
      <c r="D455">
        <v>5.18</v>
      </c>
      <c r="E455">
        <v>0.13200000000000001</v>
      </c>
      <c r="F455">
        <v>393</v>
      </c>
      <c r="G455">
        <v>150</v>
      </c>
      <c r="H455" t="s">
        <v>22</v>
      </c>
      <c r="I455" t="s">
        <v>22</v>
      </c>
      <c r="J455" t="s">
        <v>22</v>
      </c>
      <c r="K455" t="s">
        <v>22</v>
      </c>
      <c r="L455">
        <v>89.23</v>
      </c>
      <c r="M455">
        <v>8.1999999999999993</v>
      </c>
      <c r="N455" t="s">
        <v>32</v>
      </c>
      <c r="O455" t="s">
        <v>22</v>
      </c>
      <c r="P455">
        <v>30</v>
      </c>
      <c r="Q455">
        <v>30</v>
      </c>
      <c r="R455">
        <v>90</v>
      </c>
      <c r="S455">
        <v>4.8300000000000003E-2</v>
      </c>
    </row>
    <row r="456" spans="1:19" x14ac:dyDescent="0.25">
      <c r="A456">
        <v>1019</v>
      </c>
      <c r="B456">
        <v>1</v>
      </c>
      <c r="C456" t="s">
        <v>35</v>
      </c>
      <c r="D456">
        <v>5.18</v>
      </c>
      <c r="E456">
        <v>0.13200000000000001</v>
      </c>
      <c r="F456">
        <v>393</v>
      </c>
      <c r="G456">
        <v>150</v>
      </c>
      <c r="H456" t="s">
        <v>22</v>
      </c>
      <c r="I456" t="s">
        <v>22</v>
      </c>
      <c r="J456" t="s">
        <v>22</v>
      </c>
      <c r="K456" t="s">
        <v>22</v>
      </c>
      <c r="L456">
        <v>89.23</v>
      </c>
      <c r="M456">
        <v>8.1999999999999993</v>
      </c>
      <c r="N456" t="s">
        <v>32</v>
      </c>
      <c r="O456" t="s">
        <v>22</v>
      </c>
      <c r="P456">
        <v>30</v>
      </c>
      <c r="Q456">
        <v>30</v>
      </c>
      <c r="R456">
        <v>100</v>
      </c>
      <c r="S456">
        <v>3.9399999999999998E-2</v>
      </c>
    </row>
    <row r="457" spans="1:19" x14ac:dyDescent="0.25">
      <c r="A457">
        <v>1019</v>
      </c>
      <c r="B457">
        <v>1</v>
      </c>
      <c r="C457" t="s">
        <v>35</v>
      </c>
      <c r="D457">
        <v>5.18</v>
      </c>
      <c r="E457">
        <v>0.13200000000000001</v>
      </c>
      <c r="F457">
        <v>393</v>
      </c>
      <c r="G457">
        <v>150</v>
      </c>
      <c r="H457" t="s">
        <v>22</v>
      </c>
      <c r="I457" t="s">
        <v>22</v>
      </c>
      <c r="J457" t="s">
        <v>22</v>
      </c>
      <c r="K457" t="s">
        <v>22</v>
      </c>
      <c r="L457">
        <v>89.23</v>
      </c>
      <c r="M457">
        <v>8.1999999999999993</v>
      </c>
      <c r="N457" t="s">
        <v>32</v>
      </c>
      <c r="O457" t="s">
        <v>22</v>
      </c>
      <c r="P457">
        <v>30</v>
      </c>
      <c r="Q457">
        <v>30</v>
      </c>
      <c r="R457">
        <v>105</v>
      </c>
      <c r="S457">
        <v>3.95E-2</v>
      </c>
    </row>
    <row r="458" spans="1:19" x14ac:dyDescent="0.25">
      <c r="A458">
        <v>1019</v>
      </c>
      <c r="B458">
        <v>2</v>
      </c>
      <c r="C458" t="s">
        <v>28</v>
      </c>
      <c r="D458">
        <v>4.57</v>
      </c>
      <c r="E458">
        <v>1.1000000000000001</v>
      </c>
      <c r="F458">
        <v>340</v>
      </c>
      <c r="G458">
        <v>101</v>
      </c>
      <c r="H458" t="s">
        <v>22</v>
      </c>
      <c r="I458" t="s">
        <v>22</v>
      </c>
      <c r="J458" t="s">
        <v>22</v>
      </c>
      <c r="K458" t="s">
        <v>22</v>
      </c>
      <c r="L458">
        <v>89.23</v>
      </c>
      <c r="M458">
        <v>8.1999999999999993</v>
      </c>
      <c r="N458" t="s">
        <v>29</v>
      </c>
      <c r="O458" t="s">
        <v>22</v>
      </c>
      <c r="P458">
        <v>30</v>
      </c>
      <c r="Q458">
        <v>30</v>
      </c>
      <c r="R458">
        <v>10</v>
      </c>
      <c r="S458">
        <v>0.05</v>
      </c>
    </row>
    <row r="459" spans="1:19" x14ac:dyDescent="0.25">
      <c r="A459">
        <v>1019</v>
      </c>
      <c r="B459">
        <v>2</v>
      </c>
      <c r="C459" t="s">
        <v>28</v>
      </c>
      <c r="D459">
        <v>4.57</v>
      </c>
      <c r="E459">
        <v>1.1000000000000001</v>
      </c>
      <c r="F459">
        <v>340</v>
      </c>
      <c r="G459">
        <v>101</v>
      </c>
      <c r="H459" t="s">
        <v>22</v>
      </c>
      <c r="I459" t="s">
        <v>22</v>
      </c>
      <c r="J459" t="s">
        <v>22</v>
      </c>
      <c r="K459" t="s">
        <v>22</v>
      </c>
      <c r="L459">
        <v>89.23</v>
      </c>
      <c r="M459">
        <v>8.1999999999999993</v>
      </c>
      <c r="N459" t="s">
        <v>29</v>
      </c>
      <c r="O459" t="s">
        <v>22</v>
      </c>
      <c r="P459">
        <v>30</v>
      </c>
      <c r="Q459">
        <v>30</v>
      </c>
      <c r="R459">
        <v>20</v>
      </c>
      <c r="S459">
        <v>6.25E-2</v>
      </c>
    </row>
    <row r="460" spans="1:19" x14ac:dyDescent="0.25">
      <c r="A460">
        <v>1019</v>
      </c>
      <c r="B460">
        <v>2</v>
      </c>
      <c r="C460" t="s">
        <v>28</v>
      </c>
      <c r="D460">
        <v>4.57</v>
      </c>
      <c r="E460">
        <v>1.1000000000000001</v>
      </c>
      <c r="F460">
        <v>340</v>
      </c>
      <c r="G460">
        <v>101</v>
      </c>
      <c r="H460" t="s">
        <v>22</v>
      </c>
      <c r="I460" t="s">
        <v>22</v>
      </c>
      <c r="J460" t="s">
        <v>22</v>
      </c>
      <c r="K460" t="s">
        <v>22</v>
      </c>
      <c r="L460">
        <v>89.23</v>
      </c>
      <c r="M460">
        <v>8.1999999999999993</v>
      </c>
      <c r="N460" t="s">
        <v>29</v>
      </c>
      <c r="O460" t="s">
        <v>22</v>
      </c>
      <c r="P460">
        <v>30</v>
      </c>
      <c r="Q460">
        <v>30</v>
      </c>
      <c r="R460">
        <v>30</v>
      </c>
      <c r="S460">
        <v>0.2</v>
      </c>
    </row>
    <row r="461" spans="1:19" x14ac:dyDescent="0.25">
      <c r="A461">
        <v>1019</v>
      </c>
      <c r="B461">
        <v>2</v>
      </c>
      <c r="C461" t="s">
        <v>28</v>
      </c>
      <c r="D461">
        <v>4.57</v>
      </c>
      <c r="E461">
        <v>1.1000000000000001</v>
      </c>
      <c r="F461">
        <v>340</v>
      </c>
      <c r="G461">
        <v>101</v>
      </c>
      <c r="H461" t="s">
        <v>22</v>
      </c>
      <c r="I461" t="s">
        <v>22</v>
      </c>
      <c r="J461" t="s">
        <v>22</v>
      </c>
      <c r="K461" t="s">
        <v>22</v>
      </c>
      <c r="L461">
        <v>89.23</v>
      </c>
      <c r="M461">
        <v>8.1999999999999993</v>
      </c>
      <c r="N461" t="s">
        <v>29</v>
      </c>
      <c r="O461" t="s">
        <v>22</v>
      </c>
      <c r="P461">
        <v>30</v>
      </c>
      <c r="Q461">
        <v>30</v>
      </c>
      <c r="R461">
        <v>40</v>
      </c>
      <c r="S461">
        <v>0.24299999999999999</v>
      </c>
    </row>
    <row r="462" spans="1:19" x14ac:dyDescent="0.25">
      <c r="A462">
        <v>1019</v>
      </c>
      <c r="B462">
        <v>2</v>
      </c>
      <c r="C462" t="s">
        <v>28</v>
      </c>
      <c r="D462">
        <v>4.57</v>
      </c>
      <c r="E462">
        <v>1.1000000000000001</v>
      </c>
      <c r="F462">
        <v>340</v>
      </c>
      <c r="G462">
        <v>101</v>
      </c>
      <c r="H462" t="s">
        <v>22</v>
      </c>
      <c r="I462" t="s">
        <v>22</v>
      </c>
      <c r="J462" t="s">
        <v>22</v>
      </c>
      <c r="K462" t="s">
        <v>22</v>
      </c>
      <c r="L462">
        <v>89.23</v>
      </c>
      <c r="M462">
        <v>8.1999999999999993</v>
      </c>
      <c r="N462" t="s">
        <v>29</v>
      </c>
      <c r="O462" t="s">
        <v>22</v>
      </c>
      <c r="P462">
        <v>30</v>
      </c>
      <c r="Q462">
        <v>30</v>
      </c>
      <c r="R462">
        <v>50</v>
      </c>
      <c r="S462">
        <v>0.27100000000000002</v>
      </c>
    </row>
    <row r="463" spans="1:19" x14ac:dyDescent="0.25">
      <c r="A463">
        <v>1019</v>
      </c>
      <c r="B463">
        <v>2</v>
      </c>
      <c r="C463" t="s">
        <v>28</v>
      </c>
      <c r="D463">
        <v>4.57</v>
      </c>
      <c r="E463">
        <v>1.1000000000000001</v>
      </c>
      <c r="F463">
        <v>340</v>
      </c>
      <c r="G463">
        <v>101</v>
      </c>
      <c r="H463" t="s">
        <v>22</v>
      </c>
      <c r="I463" t="s">
        <v>22</v>
      </c>
      <c r="J463" t="s">
        <v>22</v>
      </c>
      <c r="K463" t="s">
        <v>22</v>
      </c>
      <c r="L463">
        <v>89.23</v>
      </c>
      <c r="M463">
        <v>8.1999999999999993</v>
      </c>
      <c r="N463" t="s">
        <v>29</v>
      </c>
      <c r="O463" t="s">
        <v>22</v>
      </c>
      <c r="P463">
        <v>30</v>
      </c>
      <c r="Q463">
        <v>30</v>
      </c>
      <c r="R463">
        <v>60</v>
      </c>
      <c r="S463">
        <v>0.28599999999999998</v>
      </c>
    </row>
    <row r="464" spans="1:19" x14ac:dyDescent="0.25">
      <c r="A464">
        <v>1019</v>
      </c>
      <c r="B464">
        <v>2</v>
      </c>
      <c r="C464" t="s">
        <v>28</v>
      </c>
      <c r="D464">
        <v>4.57</v>
      </c>
      <c r="E464">
        <v>1.1000000000000001</v>
      </c>
      <c r="F464">
        <v>340</v>
      </c>
      <c r="G464">
        <v>101</v>
      </c>
      <c r="H464" t="s">
        <v>22</v>
      </c>
      <c r="I464" t="s">
        <v>22</v>
      </c>
      <c r="J464" t="s">
        <v>22</v>
      </c>
      <c r="K464" t="s">
        <v>22</v>
      </c>
      <c r="L464">
        <v>89.23</v>
      </c>
      <c r="M464">
        <v>8.1999999999999993</v>
      </c>
      <c r="N464" t="s">
        <v>29</v>
      </c>
      <c r="O464" t="s">
        <v>22</v>
      </c>
      <c r="P464">
        <v>30</v>
      </c>
      <c r="Q464">
        <v>30</v>
      </c>
      <c r="R464">
        <v>70</v>
      </c>
      <c r="S464">
        <v>0.3125</v>
      </c>
    </row>
    <row r="465" spans="1:19" x14ac:dyDescent="0.25">
      <c r="A465">
        <v>1019</v>
      </c>
      <c r="B465">
        <v>2</v>
      </c>
      <c r="C465" t="s">
        <v>28</v>
      </c>
      <c r="D465">
        <v>4.57</v>
      </c>
      <c r="E465">
        <v>1.1000000000000001</v>
      </c>
      <c r="F465">
        <v>340</v>
      </c>
      <c r="G465">
        <v>101</v>
      </c>
      <c r="H465" t="s">
        <v>22</v>
      </c>
      <c r="I465" t="s">
        <v>22</v>
      </c>
      <c r="J465" t="s">
        <v>22</v>
      </c>
      <c r="K465" t="s">
        <v>22</v>
      </c>
      <c r="L465">
        <v>89.23</v>
      </c>
      <c r="M465">
        <v>8.1999999999999993</v>
      </c>
      <c r="N465" t="s">
        <v>29</v>
      </c>
      <c r="O465" t="s">
        <v>22</v>
      </c>
      <c r="P465">
        <v>30</v>
      </c>
      <c r="Q465">
        <v>30</v>
      </c>
      <c r="R465">
        <v>80</v>
      </c>
      <c r="S465">
        <v>0.32500000000000001</v>
      </c>
    </row>
    <row r="466" spans="1:19" x14ac:dyDescent="0.25">
      <c r="A466">
        <v>1019</v>
      </c>
      <c r="B466">
        <v>2</v>
      </c>
      <c r="C466" t="s">
        <v>28</v>
      </c>
      <c r="D466">
        <v>4.57</v>
      </c>
      <c r="E466">
        <v>1.1000000000000001</v>
      </c>
      <c r="F466">
        <v>340</v>
      </c>
      <c r="G466">
        <v>101</v>
      </c>
      <c r="H466" t="s">
        <v>22</v>
      </c>
      <c r="I466" t="s">
        <v>22</v>
      </c>
      <c r="J466" t="s">
        <v>22</v>
      </c>
      <c r="K466" t="s">
        <v>22</v>
      </c>
      <c r="L466">
        <v>89.23</v>
      </c>
      <c r="M466">
        <v>8.1999999999999993</v>
      </c>
      <c r="N466" t="s">
        <v>29</v>
      </c>
      <c r="O466" t="s">
        <v>22</v>
      </c>
      <c r="P466">
        <v>30</v>
      </c>
      <c r="Q466">
        <v>30</v>
      </c>
      <c r="R466">
        <v>90</v>
      </c>
      <c r="S466">
        <v>0.31830000000000003</v>
      </c>
    </row>
    <row r="467" spans="1:19" x14ac:dyDescent="0.25">
      <c r="A467">
        <v>1019</v>
      </c>
      <c r="B467">
        <v>2</v>
      </c>
      <c r="C467" t="s">
        <v>28</v>
      </c>
      <c r="D467">
        <v>4.57</v>
      </c>
      <c r="E467">
        <v>1.1000000000000001</v>
      </c>
      <c r="F467">
        <v>340</v>
      </c>
      <c r="G467">
        <v>101</v>
      </c>
      <c r="H467" t="s">
        <v>22</v>
      </c>
      <c r="I467" t="s">
        <v>22</v>
      </c>
      <c r="J467" t="s">
        <v>22</v>
      </c>
      <c r="K467" t="s">
        <v>22</v>
      </c>
      <c r="L467">
        <v>89.23</v>
      </c>
      <c r="M467">
        <v>8.1999999999999993</v>
      </c>
      <c r="N467" t="s">
        <v>29</v>
      </c>
      <c r="O467" t="s">
        <v>22</v>
      </c>
      <c r="P467">
        <v>30</v>
      </c>
      <c r="Q467">
        <v>30</v>
      </c>
      <c r="R467">
        <v>100</v>
      </c>
      <c r="S467">
        <v>0.3251</v>
      </c>
    </row>
    <row r="468" spans="1:19" x14ac:dyDescent="0.25">
      <c r="A468">
        <v>1019</v>
      </c>
      <c r="B468">
        <v>2</v>
      </c>
      <c r="C468" t="s">
        <v>28</v>
      </c>
      <c r="D468">
        <v>4.57</v>
      </c>
      <c r="E468">
        <v>1.1000000000000001</v>
      </c>
      <c r="F468">
        <v>340</v>
      </c>
      <c r="G468">
        <v>101</v>
      </c>
      <c r="H468" t="s">
        <v>22</v>
      </c>
      <c r="I468" t="s">
        <v>22</v>
      </c>
      <c r="J468" t="s">
        <v>22</v>
      </c>
      <c r="K468" t="s">
        <v>22</v>
      </c>
      <c r="L468">
        <v>89.23</v>
      </c>
      <c r="M468">
        <v>8.1999999999999993</v>
      </c>
      <c r="N468" t="s">
        <v>29</v>
      </c>
      <c r="O468" t="s">
        <v>22</v>
      </c>
      <c r="P468">
        <v>30</v>
      </c>
      <c r="Q468">
        <v>30</v>
      </c>
      <c r="R468">
        <v>105</v>
      </c>
      <c r="S468">
        <v>0.32479999999999998</v>
      </c>
    </row>
    <row r="469" spans="1:19" x14ac:dyDescent="0.25">
      <c r="A469">
        <v>1019</v>
      </c>
      <c r="B469">
        <v>2</v>
      </c>
      <c r="C469" t="s">
        <v>35</v>
      </c>
      <c r="D469">
        <v>5.18</v>
      </c>
      <c r="E469">
        <v>0.13200000000000001</v>
      </c>
      <c r="F469">
        <v>393</v>
      </c>
      <c r="G469">
        <v>150</v>
      </c>
      <c r="H469" t="s">
        <v>22</v>
      </c>
      <c r="I469" t="s">
        <v>22</v>
      </c>
      <c r="J469" t="s">
        <v>22</v>
      </c>
      <c r="K469" t="s">
        <v>22</v>
      </c>
      <c r="L469">
        <v>89.23</v>
      </c>
      <c r="M469">
        <v>8.1999999999999993</v>
      </c>
      <c r="N469" t="s">
        <v>32</v>
      </c>
      <c r="O469" t="s">
        <v>22</v>
      </c>
      <c r="P469">
        <v>30</v>
      </c>
      <c r="Q469">
        <v>30</v>
      </c>
      <c r="R469">
        <v>10</v>
      </c>
      <c r="S469">
        <v>3.1399999999999997E-2</v>
      </c>
    </row>
    <row r="470" spans="1:19" x14ac:dyDescent="0.25">
      <c r="A470">
        <v>1019</v>
      </c>
      <c r="B470">
        <v>2</v>
      </c>
      <c r="C470" t="s">
        <v>35</v>
      </c>
      <c r="D470">
        <v>5.18</v>
      </c>
      <c r="E470">
        <v>0.13200000000000001</v>
      </c>
      <c r="F470">
        <v>393</v>
      </c>
      <c r="G470">
        <v>150</v>
      </c>
      <c r="H470" t="s">
        <v>22</v>
      </c>
      <c r="I470" t="s">
        <v>22</v>
      </c>
      <c r="J470" t="s">
        <v>22</v>
      </c>
      <c r="K470" t="s">
        <v>22</v>
      </c>
      <c r="L470">
        <v>89.23</v>
      </c>
      <c r="M470">
        <v>8.1999999999999993</v>
      </c>
      <c r="N470" t="s">
        <v>32</v>
      </c>
      <c r="O470" t="s">
        <v>22</v>
      </c>
      <c r="P470">
        <v>30</v>
      </c>
      <c r="Q470">
        <v>30</v>
      </c>
      <c r="R470">
        <v>20</v>
      </c>
      <c r="S470">
        <v>0.1</v>
      </c>
    </row>
    <row r="471" spans="1:19" x14ac:dyDescent="0.25">
      <c r="A471">
        <v>1019</v>
      </c>
      <c r="B471">
        <v>2</v>
      </c>
      <c r="C471" t="s">
        <v>35</v>
      </c>
      <c r="D471">
        <v>5.18</v>
      </c>
      <c r="E471">
        <v>0.13200000000000001</v>
      </c>
      <c r="F471">
        <v>393</v>
      </c>
      <c r="G471">
        <v>150</v>
      </c>
      <c r="H471" t="s">
        <v>22</v>
      </c>
      <c r="I471" t="s">
        <v>22</v>
      </c>
      <c r="J471" t="s">
        <v>22</v>
      </c>
      <c r="K471" t="s">
        <v>22</v>
      </c>
      <c r="L471">
        <v>89.23</v>
      </c>
      <c r="M471">
        <v>8.1999999999999993</v>
      </c>
      <c r="N471" t="s">
        <v>32</v>
      </c>
      <c r="O471" t="s">
        <v>22</v>
      </c>
      <c r="P471">
        <v>30</v>
      </c>
      <c r="Q471">
        <v>30</v>
      </c>
      <c r="R471">
        <v>30</v>
      </c>
      <c r="S471">
        <v>0.1178</v>
      </c>
    </row>
    <row r="472" spans="1:19" x14ac:dyDescent="0.25">
      <c r="A472">
        <v>1019</v>
      </c>
      <c r="B472">
        <v>2</v>
      </c>
      <c r="C472" t="s">
        <v>35</v>
      </c>
      <c r="D472">
        <v>5.18</v>
      </c>
      <c r="E472">
        <v>0.13200000000000001</v>
      </c>
      <c r="F472">
        <v>393</v>
      </c>
      <c r="G472">
        <v>150</v>
      </c>
      <c r="H472" t="s">
        <v>22</v>
      </c>
      <c r="I472" t="s">
        <v>22</v>
      </c>
      <c r="J472" t="s">
        <v>22</v>
      </c>
      <c r="K472" t="s">
        <v>22</v>
      </c>
      <c r="L472">
        <v>89.23</v>
      </c>
      <c r="M472">
        <v>8.1999999999999993</v>
      </c>
      <c r="N472" t="s">
        <v>32</v>
      </c>
      <c r="O472" t="s">
        <v>22</v>
      </c>
      <c r="P472">
        <v>30</v>
      </c>
      <c r="Q472">
        <v>30</v>
      </c>
      <c r="R472">
        <v>40</v>
      </c>
      <c r="S472">
        <v>0.13750000000000001</v>
      </c>
    </row>
    <row r="473" spans="1:19" x14ac:dyDescent="0.25">
      <c r="A473">
        <v>1019</v>
      </c>
      <c r="B473">
        <v>2</v>
      </c>
      <c r="C473" t="s">
        <v>35</v>
      </c>
      <c r="D473">
        <v>5.18</v>
      </c>
      <c r="E473">
        <v>0.13200000000000001</v>
      </c>
      <c r="F473">
        <v>393</v>
      </c>
      <c r="G473">
        <v>150</v>
      </c>
      <c r="H473" t="s">
        <v>22</v>
      </c>
      <c r="I473" t="s">
        <v>22</v>
      </c>
      <c r="J473" t="s">
        <v>22</v>
      </c>
      <c r="K473" t="s">
        <v>22</v>
      </c>
      <c r="L473">
        <v>89.23</v>
      </c>
      <c r="M473">
        <v>8.1999999999999993</v>
      </c>
      <c r="N473" t="s">
        <v>32</v>
      </c>
      <c r="O473" t="s">
        <v>22</v>
      </c>
      <c r="P473">
        <v>30</v>
      </c>
      <c r="Q473">
        <v>30</v>
      </c>
      <c r="R473">
        <v>50</v>
      </c>
      <c r="S473">
        <v>0.16889999999999999</v>
      </c>
    </row>
    <row r="474" spans="1:19" x14ac:dyDescent="0.25">
      <c r="A474">
        <v>1019</v>
      </c>
      <c r="B474">
        <v>2</v>
      </c>
      <c r="C474" t="s">
        <v>35</v>
      </c>
      <c r="D474">
        <v>5.18</v>
      </c>
      <c r="E474">
        <v>0.13200000000000001</v>
      </c>
      <c r="F474">
        <v>393</v>
      </c>
      <c r="G474">
        <v>150</v>
      </c>
      <c r="H474" t="s">
        <v>22</v>
      </c>
      <c r="I474" t="s">
        <v>22</v>
      </c>
      <c r="J474" t="s">
        <v>22</v>
      </c>
      <c r="K474" t="s">
        <v>22</v>
      </c>
      <c r="L474">
        <v>89.23</v>
      </c>
      <c r="M474">
        <v>8.1999999999999993</v>
      </c>
      <c r="N474" t="s">
        <v>32</v>
      </c>
      <c r="O474" t="s">
        <v>22</v>
      </c>
      <c r="P474">
        <v>30</v>
      </c>
      <c r="Q474">
        <v>30</v>
      </c>
      <c r="R474">
        <v>60</v>
      </c>
      <c r="S474">
        <v>0.21940000000000001</v>
      </c>
    </row>
    <row r="475" spans="1:19" x14ac:dyDescent="0.25">
      <c r="A475">
        <v>1019</v>
      </c>
      <c r="B475">
        <v>2</v>
      </c>
      <c r="C475" t="s">
        <v>35</v>
      </c>
      <c r="D475">
        <v>5.18</v>
      </c>
      <c r="E475">
        <v>0.13200000000000001</v>
      </c>
      <c r="F475">
        <v>393</v>
      </c>
      <c r="G475">
        <v>150</v>
      </c>
      <c r="H475" t="s">
        <v>22</v>
      </c>
      <c r="I475" t="s">
        <v>22</v>
      </c>
      <c r="J475" t="s">
        <v>22</v>
      </c>
      <c r="K475" t="s">
        <v>22</v>
      </c>
      <c r="L475">
        <v>89.23</v>
      </c>
      <c r="M475">
        <v>8.1999999999999993</v>
      </c>
      <c r="N475" t="s">
        <v>32</v>
      </c>
      <c r="O475" t="s">
        <v>22</v>
      </c>
      <c r="P475">
        <v>30</v>
      </c>
      <c r="Q475">
        <v>30</v>
      </c>
      <c r="R475">
        <v>70</v>
      </c>
      <c r="S475">
        <v>0.26250000000000001</v>
      </c>
    </row>
    <row r="476" spans="1:19" x14ac:dyDescent="0.25">
      <c r="A476">
        <v>1019</v>
      </c>
      <c r="B476">
        <v>2</v>
      </c>
      <c r="C476" t="s">
        <v>35</v>
      </c>
      <c r="D476">
        <v>5.18</v>
      </c>
      <c r="E476">
        <v>0.13200000000000001</v>
      </c>
      <c r="F476">
        <v>393</v>
      </c>
      <c r="G476">
        <v>150</v>
      </c>
      <c r="H476" t="s">
        <v>22</v>
      </c>
      <c r="I476" t="s">
        <v>22</v>
      </c>
      <c r="J476" t="s">
        <v>22</v>
      </c>
      <c r="K476" t="s">
        <v>22</v>
      </c>
      <c r="L476">
        <v>89.23</v>
      </c>
      <c r="M476">
        <v>8.1999999999999993</v>
      </c>
      <c r="N476" t="s">
        <v>32</v>
      </c>
      <c r="O476" t="s">
        <v>22</v>
      </c>
      <c r="P476">
        <v>30</v>
      </c>
      <c r="Q476">
        <v>30</v>
      </c>
      <c r="R476">
        <v>80</v>
      </c>
      <c r="S476">
        <v>0.3</v>
      </c>
    </row>
    <row r="477" spans="1:19" x14ac:dyDescent="0.25">
      <c r="A477">
        <v>1019</v>
      </c>
      <c r="B477">
        <v>2</v>
      </c>
      <c r="C477" t="s">
        <v>35</v>
      </c>
      <c r="D477">
        <v>5.18</v>
      </c>
      <c r="E477">
        <v>0.13200000000000001</v>
      </c>
      <c r="F477">
        <v>393</v>
      </c>
      <c r="G477">
        <v>150</v>
      </c>
      <c r="H477" t="s">
        <v>22</v>
      </c>
      <c r="I477" t="s">
        <v>22</v>
      </c>
      <c r="J477" t="s">
        <v>22</v>
      </c>
      <c r="K477" t="s">
        <v>22</v>
      </c>
      <c r="L477">
        <v>89.23</v>
      </c>
      <c r="M477">
        <v>8.1999999999999993</v>
      </c>
      <c r="N477" t="s">
        <v>32</v>
      </c>
      <c r="O477" t="s">
        <v>22</v>
      </c>
      <c r="P477">
        <v>30</v>
      </c>
      <c r="Q477">
        <v>30</v>
      </c>
      <c r="R477">
        <v>90</v>
      </c>
      <c r="S477">
        <v>0.3125</v>
      </c>
    </row>
    <row r="478" spans="1:19" x14ac:dyDescent="0.25">
      <c r="A478">
        <v>1019</v>
      </c>
      <c r="B478">
        <v>2</v>
      </c>
      <c r="C478" t="s">
        <v>35</v>
      </c>
      <c r="D478">
        <v>5.18</v>
      </c>
      <c r="E478">
        <v>0.13200000000000001</v>
      </c>
      <c r="F478">
        <v>393</v>
      </c>
      <c r="G478">
        <v>150</v>
      </c>
      <c r="H478" t="s">
        <v>22</v>
      </c>
      <c r="I478" t="s">
        <v>22</v>
      </c>
      <c r="J478" t="s">
        <v>22</v>
      </c>
      <c r="K478" t="s">
        <v>22</v>
      </c>
      <c r="L478">
        <v>89.23</v>
      </c>
      <c r="M478">
        <v>8.1999999999999993</v>
      </c>
      <c r="N478" t="s">
        <v>32</v>
      </c>
      <c r="O478" t="s">
        <v>22</v>
      </c>
      <c r="P478">
        <v>30</v>
      </c>
      <c r="Q478">
        <v>30</v>
      </c>
      <c r="R478">
        <v>100</v>
      </c>
      <c r="S478">
        <v>0.32179999999999997</v>
      </c>
    </row>
    <row r="479" spans="1:19" x14ac:dyDescent="0.25">
      <c r="A479">
        <v>1019</v>
      </c>
      <c r="B479">
        <v>2</v>
      </c>
      <c r="C479" t="s">
        <v>35</v>
      </c>
      <c r="D479">
        <v>5.18</v>
      </c>
      <c r="E479">
        <v>0.13200000000000001</v>
      </c>
      <c r="F479">
        <v>393</v>
      </c>
      <c r="G479">
        <v>150</v>
      </c>
      <c r="H479" t="s">
        <v>22</v>
      </c>
      <c r="I479" t="s">
        <v>22</v>
      </c>
      <c r="J479" t="s">
        <v>22</v>
      </c>
      <c r="K479" t="s">
        <v>22</v>
      </c>
      <c r="L479">
        <v>89.23</v>
      </c>
      <c r="M479">
        <v>8.1999999999999993</v>
      </c>
      <c r="N479" t="s">
        <v>32</v>
      </c>
      <c r="O479" t="s">
        <v>22</v>
      </c>
      <c r="P479">
        <v>30</v>
      </c>
      <c r="Q479">
        <v>30</v>
      </c>
      <c r="R479">
        <v>105</v>
      </c>
      <c r="S479">
        <v>0.32229999999999998</v>
      </c>
    </row>
    <row r="480" spans="1:19" x14ac:dyDescent="0.25">
      <c r="A480">
        <v>1019</v>
      </c>
      <c r="B480">
        <v>3</v>
      </c>
      <c r="C480" t="s">
        <v>28</v>
      </c>
      <c r="D480">
        <v>4.57</v>
      </c>
      <c r="E480">
        <v>1.1000000000000001</v>
      </c>
      <c r="F480">
        <v>340</v>
      </c>
      <c r="G480">
        <v>101</v>
      </c>
      <c r="H480" t="s">
        <v>22</v>
      </c>
      <c r="I480" t="s">
        <v>22</v>
      </c>
      <c r="J480" t="s">
        <v>22</v>
      </c>
      <c r="K480" t="s">
        <v>22</v>
      </c>
      <c r="L480">
        <v>89.23</v>
      </c>
      <c r="M480">
        <v>8.1999999999999993</v>
      </c>
      <c r="N480" t="s">
        <v>29</v>
      </c>
      <c r="O480" t="s">
        <v>22</v>
      </c>
      <c r="P480">
        <v>30</v>
      </c>
      <c r="Q480">
        <v>30</v>
      </c>
      <c r="R480">
        <v>10</v>
      </c>
      <c r="S480">
        <v>0.05</v>
      </c>
    </row>
    <row r="481" spans="1:19" x14ac:dyDescent="0.25">
      <c r="A481">
        <v>1019</v>
      </c>
      <c r="B481">
        <v>3</v>
      </c>
      <c r="C481" t="s">
        <v>28</v>
      </c>
      <c r="D481">
        <v>4.57</v>
      </c>
      <c r="E481">
        <v>1.1000000000000001</v>
      </c>
      <c r="F481">
        <v>340</v>
      </c>
      <c r="G481">
        <v>101</v>
      </c>
      <c r="H481" t="s">
        <v>22</v>
      </c>
      <c r="I481" t="s">
        <v>22</v>
      </c>
      <c r="J481" t="s">
        <v>22</v>
      </c>
      <c r="K481" t="s">
        <v>22</v>
      </c>
      <c r="L481">
        <v>89.23</v>
      </c>
      <c r="M481">
        <v>8.1999999999999993</v>
      </c>
      <c r="N481" t="s">
        <v>29</v>
      </c>
      <c r="O481" t="s">
        <v>22</v>
      </c>
      <c r="P481">
        <v>30</v>
      </c>
      <c r="Q481">
        <v>30</v>
      </c>
      <c r="R481">
        <v>20</v>
      </c>
      <c r="S481">
        <v>8.2500000000000004E-2</v>
      </c>
    </row>
    <row r="482" spans="1:19" x14ac:dyDescent="0.25">
      <c r="A482">
        <v>1019</v>
      </c>
      <c r="B482">
        <v>3</v>
      </c>
      <c r="C482" t="s">
        <v>28</v>
      </c>
      <c r="D482">
        <v>4.57</v>
      </c>
      <c r="E482">
        <v>1.1000000000000001</v>
      </c>
      <c r="F482">
        <v>340</v>
      </c>
      <c r="G482">
        <v>101</v>
      </c>
      <c r="H482" t="s">
        <v>22</v>
      </c>
      <c r="I482" t="s">
        <v>22</v>
      </c>
      <c r="J482" t="s">
        <v>22</v>
      </c>
      <c r="K482" t="s">
        <v>22</v>
      </c>
      <c r="L482">
        <v>89.23</v>
      </c>
      <c r="M482">
        <v>8.1999999999999993</v>
      </c>
      <c r="N482" t="s">
        <v>29</v>
      </c>
      <c r="O482" t="s">
        <v>22</v>
      </c>
      <c r="P482">
        <v>30</v>
      </c>
      <c r="Q482">
        <v>30</v>
      </c>
      <c r="R482">
        <v>30</v>
      </c>
      <c r="S482">
        <v>7.8299999999999995E-2</v>
      </c>
    </row>
    <row r="483" spans="1:19" x14ac:dyDescent="0.25">
      <c r="A483">
        <v>1019</v>
      </c>
      <c r="B483">
        <v>3</v>
      </c>
      <c r="C483" t="s">
        <v>28</v>
      </c>
      <c r="D483">
        <v>4.57</v>
      </c>
      <c r="E483">
        <v>1.1000000000000001</v>
      </c>
      <c r="F483">
        <v>340</v>
      </c>
      <c r="G483">
        <v>101</v>
      </c>
      <c r="H483" t="s">
        <v>22</v>
      </c>
      <c r="I483" t="s">
        <v>22</v>
      </c>
      <c r="J483" t="s">
        <v>22</v>
      </c>
      <c r="K483" t="s">
        <v>22</v>
      </c>
      <c r="L483">
        <v>89.23</v>
      </c>
      <c r="M483">
        <v>8.1999999999999993</v>
      </c>
      <c r="N483" t="s">
        <v>29</v>
      </c>
      <c r="O483" t="s">
        <v>22</v>
      </c>
      <c r="P483">
        <v>30</v>
      </c>
      <c r="Q483">
        <v>30</v>
      </c>
      <c r="R483">
        <v>40</v>
      </c>
      <c r="S483">
        <v>0.24310000000000001</v>
      </c>
    </row>
    <row r="484" spans="1:19" x14ac:dyDescent="0.25">
      <c r="A484">
        <v>1019</v>
      </c>
      <c r="B484">
        <v>3</v>
      </c>
      <c r="C484" t="s">
        <v>28</v>
      </c>
      <c r="D484">
        <v>4.57</v>
      </c>
      <c r="E484">
        <v>1.1000000000000001</v>
      </c>
      <c r="F484">
        <v>340</v>
      </c>
      <c r="G484">
        <v>101</v>
      </c>
      <c r="H484" t="s">
        <v>22</v>
      </c>
      <c r="I484" t="s">
        <v>22</v>
      </c>
      <c r="J484" t="s">
        <v>22</v>
      </c>
      <c r="K484" t="s">
        <v>22</v>
      </c>
      <c r="L484">
        <v>89.23</v>
      </c>
      <c r="M484">
        <v>8.1999999999999993</v>
      </c>
      <c r="N484" t="s">
        <v>29</v>
      </c>
      <c r="O484" t="s">
        <v>22</v>
      </c>
      <c r="P484">
        <v>30</v>
      </c>
      <c r="Q484">
        <v>30</v>
      </c>
      <c r="R484">
        <v>50</v>
      </c>
      <c r="S484">
        <v>0.3</v>
      </c>
    </row>
    <row r="485" spans="1:19" x14ac:dyDescent="0.25">
      <c r="A485">
        <v>1019</v>
      </c>
      <c r="B485">
        <v>3</v>
      </c>
      <c r="C485" t="s">
        <v>28</v>
      </c>
      <c r="D485">
        <v>4.57</v>
      </c>
      <c r="E485">
        <v>1.1000000000000001</v>
      </c>
      <c r="F485">
        <v>340</v>
      </c>
      <c r="G485">
        <v>101</v>
      </c>
      <c r="H485" t="s">
        <v>22</v>
      </c>
      <c r="I485" t="s">
        <v>22</v>
      </c>
      <c r="J485" t="s">
        <v>22</v>
      </c>
      <c r="K485" t="s">
        <v>22</v>
      </c>
      <c r="L485">
        <v>89.23</v>
      </c>
      <c r="M485">
        <v>8.1999999999999993</v>
      </c>
      <c r="N485" t="s">
        <v>29</v>
      </c>
      <c r="O485" t="s">
        <v>22</v>
      </c>
      <c r="P485">
        <v>30</v>
      </c>
      <c r="Q485">
        <v>30</v>
      </c>
      <c r="R485">
        <v>60</v>
      </c>
      <c r="S485">
        <v>0.33879999999999999</v>
      </c>
    </row>
    <row r="486" spans="1:19" x14ac:dyDescent="0.25">
      <c r="A486">
        <v>1019</v>
      </c>
      <c r="B486">
        <v>3</v>
      </c>
      <c r="C486" t="s">
        <v>28</v>
      </c>
      <c r="D486">
        <v>4.57</v>
      </c>
      <c r="E486">
        <v>1.1000000000000001</v>
      </c>
      <c r="F486">
        <v>340</v>
      </c>
      <c r="G486">
        <v>101</v>
      </c>
      <c r="H486" t="s">
        <v>22</v>
      </c>
      <c r="I486" t="s">
        <v>22</v>
      </c>
      <c r="J486" t="s">
        <v>22</v>
      </c>
      <c r="K486" t="s">
        <v>22</v>
      </c>
      <c r="L486">
        <v>89.23</v>
      </c>
      <c r="M486">
        <v>8.1999999999999993</v>
      </c>
      <c r="N486" t="s">
        <v>29</v>
      </c>
      <c r="O486" t="s">
        <v>22</v>
      </c>
      <c r="P486">
        <v>30</v>
      </c>
      <c r="Q486">
        <v>30</v>
      </c>
      <c r="R486">
        <v>70</v>
      </c>
      <c r="S486">
        <v>0.375</v>
      </c>
    </row>
    <row r="487" spans="1:19" x14ac:dyDescent="0.25">
      <c r="A487">
        <v>1019</v>
      </c>
      <c r="B487">
        <v>3</v>
      </c>
      <c r="C487" t="s">
        <v>28</v>
      </c>
      <c r="D487">
        <v>4.57</v>
      </c>
      <c r="E487">
        <v>1.1000000000000001</v>
      </c>
      <c r="F487">
        <v>340</v>
      </c>
      <c r="G487">
        <v>101</v>
      </c>
      <c r="H487" t="s">
        <v>22</v>
      </c>
      <c r="I487" t="s">
        <v>22</v>
      </c>
      <c r="J487" t="s">
        <v>22</v>
      </c>
      <c r="K487" t="s">
        <v>22</v>
      </c>
      <c r="L487">
        <v>89.23</v>
      </c>
      <c r="M487">
        <v>8.1999999999999993</v>
      </c>
      <c r="N487" t="s">
        <v>29</v>
      </c>
      <c r="O487" t="s">
        <v>22</v>
      </c>
      <c r="P487">
        <v>30</v>
      </c>
      <c r="Q487">
        <v>30</v>
      </c>
      <c r="R487">
        <v>80</v>
      </c>
      <c r="S487">
        <v>0.4</v>
      </c>
    </row>
    <row r="488" spans="1:19" x14ac:dyDescent="0.25">
      <c r="A488">
        <v>1019</v>
      </c>
      <c r="B488">
        <v>3</v>
      </c>
      <c r="C488" t="s">
        <v>28</v>
      </c>
      <c r="D488">
        <v>4.57</v>
      </c>
      <c r="E488">
        <v>1.1000000000000001</v>
      </c>
      <c r="F488">
        <v>340</v>
      </c>
      <c r="G488">
        <v>101</v>
      </c>
      <c r="H488" t="s">
        <v>22</v>
      </c>
      <c r="I488" t="s">
        <v>22</v>
      </c>
      <c r="J488" t="s">
        <v>22</v>
      </c>
      <c r="K488" t="s">
        <v>22</v>
      </c>
      <c r="L488">
        <v>89.23</v>
      </c>
      <c r="M488">
        <v>8.1999999999999993</v>
      </c>
      <c r="N488" t="s">
        <v>29</v>
      </c>
      <c r="O488" t="s">
        <v>22</v>
      </c>
      <c r="P488">
        <v>30</v>
      </c>
      <c r="Q488">
        <v>30</v>
      </c>
      <c r="R488">
        <v>90</v>
      </c>
      <c r="S488">
        <v>0.41299999999999998</v>
      </c>
    </row>
    <row r="489" spans="1:19" x14ac:dyDescent="0.25">
      <c r="A489">
        <v>1019</v>
      </c>
      <c r="B489">
        <v>3</v>
      </c>
      <c r="C489" t="s">
        <v>28</v>
      </c>
      <c r="D489">
        <v>4.57</v>
      </c>
      <c r="E489">
        <v>1.1000000000000001</v>
      </c>
      <c r="F489">
        <v>340</v>
      </c>
      <c r="G489">
        <v>101</v>
      </c>
      <c r="H489" t="s">
        <v>22</v>
      </c>
      <c r="I489" t="s">
        <v>22</v>
      </c>
      <c r="J489" t="s">
        <v>22</v>
      </c>
      <c r="K489" t="s">
        <v>22</v>
      </c>
      <c r="L489">
        <v>89.23</v>
      </c>
      <c r="M489">
        <v>8.1999999999999993</v>
      </c>
      <c r="N489" t="s">
        <v>29</v>
      </c>
      <c r="O489" t="s">
        <v>22</v>
      </c>
      <c r="P489">
        <v>30</v>
      </c>
      <c r="Q489">
        <v>30</v>
      </c>
      <c r="R489">
        <v>100</v>
      </c>
      <c r="S489">
        <v>0.42299999999999999</v>
      </c>
    </row>
    <row r="490" spans="1:19" x14ac:dyDescent="0.25">
      <c r="A490">
        <v>1019</v>
      </c>
      <c r="B490">
        <v>3</v>
      </c>
      <c r="C490" t="s">
        <v>28</v>
      </c>
      <c r="D490">
        <v>4.57</v>
      </c>
      <c r="E490">
        <v>1.1000000000000001</v>
      </c>
      <c r="F490">
        <v>340</v>
      </c>
      <c r="G490">
        <v>101</v>
      </c>
      <c r="H490" t="s">
        <v>22</v>
      </c>
      <c r="I490" t="s">
        <v>22</v>
      </c>
      <c r="J490" t="s">
        <v>22</v>
      </c>
      <c r="K490" t="s">
        <v>22</v>
      </c>
      <c r="L490">
        <v>89.23</v>
      </c>
      <c r="M490">
        <v>8.1999999999999993</v>
      </c>
      <c r="N490" t="s">
        <v>29</v>
      </c>
      <c r="O490" t="s">
        <v>22</v>
      </c>
      <c r="P490">
        <v>30</v>
      </c>
      <c r="Q490">
        <v>30</v>
      </c>
      <c r="R490">
        <v>105</v>
      </c>
      <c r="S490">
        <v>0.42499999999999999</v>
      </c>
    </row>
    <row r="491" spans="1:19" x14ac:dyDescent="0.25">
      <c r="A491">
        <v>1019</v>
      </c>
      <c r="B491">
        <v>3</v>
      </c>
      <c r="C491" t="s">
        <v>35</v>
      </c>
      <c r="D491">
        <v>5.18</v>
      </c>
      <c r="E491">
        <v>0.13200000000000001</v>
      </c>
      <c r="F491">
        <v>393</v>
      </c>
      <c r="G491">
        <v>150</v>
      </c>
      <c r="H491" t="s">
        <v>22</v>
      </c>
      <c r="I491" t="s">
        <v>22</v>
      </c>
      <c r="J491" t="s">
        <v>22</v>
      </c>
      <c r="K491" t="s">
        <v>22</v>
      </c>
      <c r="L491">
        <v>89.23</v>
      </c>
      <c r="M491">
        <v>8.1999999999999993</v>
      </c>
      <c r="N491" t="s">
        <v>32</v>
      </c>
      <c r="O491" t="s">
        <v>22</v>
      </c>
      <c r="P491">
        <v>30</v>
      </c>
      <c r="Q491">
        <v>30</v>
      </c>
      <c r="R491">
        <v>10</v>
      </c>
      <c r="S491">
        <v>3.2199999999999999E-2</v>
      </c>
    </row>
    <row r="492" spans="1:19" x14ac:dyDescent="0.25">
      <c r="A492">
        <v>1019</v>
      </c>
      <c r="B492">
        <v>3</v>
      </c>
      <c r="C492" t="s">
        <v>35</v>
      </c>
      <c r="D492">
        <v>5.18</v>
      </c>
      <c r="E492">
        <v>0.13200000000000001</v>
      </c>
      <c r="F492">
        <v>393</v>
      </c>
      <c r="G492">
        <v>150</v>
      </c>
      <c r="H492" t="s">
        <v>22</v>
      </c>
      <c r="I492" t="s">
        <v>22</v>
      </c>
      <c r="J492" t="s">
        <v>22</v>
      </c>
      <c r="K492" t="s">
        <v>22</v>
      </c>
      <c r="L492">
        <v>89.23</v>
      </c>
      <c r="M492">
        <v>8.1999999999999993</v>
      </c>
      <c r="N492" t="s">
        <v>32</v>
      </c>
      <c r="O492" t="s">
        <v>22</v>
      </c>
      <c r="P492">
        <v>30</v>
      </c>
      <c r="Q492">
        <v>30</v>
      </c>
      <c r="R492">
        <v>20</v>
      </c>
      <c r="S492">
        <v>8.2500000000000004E-2</v>
      </c>
    </row>
    <row r="493" spans="1:19" x14ac:dyDescent="0.25">
      <c r="A493">
        <v>1019</v>
      </c>
      <c r="B493">
        <v>3</v>
      </c>
      <c r="C493" t="s">
        <v>35</v>
      </c>
      <c r="D493">
        <v>5.18</v>
      </c>
      <c r="E493">
        <v>0.13200000000000001</v>
      </c>
      <c r="F493">
        <v>393</v>
      </c>
      <c r="G493">
        <v>150</v>
      </c>
      <c r="H493" t="s">
        <v>22</v>
      </c>
      <c r="I493" t="s">
        <v>22</v>
      </c>
      <c r="J493" t="s">
        <v>22</v>
      </c>
      <c r="K493" t="s">
        <v>22</v>
      </c>
      <c r="L493">
        <v>89.23</v>
      </c>
      <c r="M493">
        <v>8.1999999999999993</v>
      </c>
      <c r="N493" t="s">
        <v>32</v>
      </c>
      <c r="O493" t="s">
        <v>22</v>
      </c>
      <c r="P493">
        <v>30</v>
      </c>
      <c r="Q493">
        <v>30</v>
      </c>
      <c r="R493">
        <v>30</v>
      </c>
      <c r="S493">
        <v>0.125</v>
      </c>
    </row>
    <row r="494" spans="1:19" x14ac:dyDescent="0.25">
      <c r="A494">
        <v>1019</v>
      </c>
      <c r="B494">
        <v>3</v>
      </c>
      <c r="C494" t="s">
        <v>35</v>
      </c>
      <c r="D494">
        <v>5.18</v>
      </c>
      <c r="E494">
        <v>0.13200000000000001</v>
      </c>
      <c r="F494">
        <v>393</v>
      </c>
      <c r="G494">
        <v>150</v>
      </c>
      <c r="H494" t="s">
        <v>22</v>
      </c>
      <c r="I494" t="s">
        <v>22</v>
      </c>
      <c r="J494" t="s">
        <v>22</v>
      </c>
      <c r="K494" t="s">
        <v>22</v>
      </c>
      <c r="L494">
        <v>89.23</v>
      </c>
      <c r="M494">
        <v>8.1999999999999993</v>
      </c>
      <c r="N494" t="s">
        <v>32</v>
      </c>
      <c r="O494" t="s">
        <v>22</v>
      </c>
      <c r="P494">
        <v>30</v>
      </c>
      <c r="Q494">
        <v>30</v>
      </c>
      <c r="R494">
        <v>40</v>
      </c>
      <c r="S494">
        <v>0.17829999999999999</v>
      </c>
    </row>
    <row r="495" spans="1:19" x14ac:dyDescent="0.25">
      <c r="A495">
        <v>1019</v>
      </c>
      <c r="B495">
        <v>3</v>
      </c>
      <c r="C495" t="s">
        <v>35</v>
      </c>
      <c r="D495">
        <v>5.18</v>
      </c>
      <c r="E495">
        <v>0.13200000000000001</v>
      </c>
      <c r="F495">
        <v>393</v>
      </c>
      <c r="G495">
        <v>150</v>
      </c>
      <c r="H495" t="s">
        <v>22</v>
      </c>
      <c r="I495" t="s">
        <v>22</v>
      </c>
      <c r="J495" t="s">
        <v>22</v>
      </c>
      <c r="K495" t="s">
        <v>22</v>
      </c>
      <c r="L495">
        <v>89.23</v>
      </c>
      <c r="M495">
        <v>8.1999999999999993</v>
      </c>
      <c r="N495" t="s">
        <v>32</v>
      </c>
      <c r="O495" t="s">
        <v>22</v>
      </c>
      <c r="P495">
        <v>30</v>
      </c>
      <c r="Q495">
        <v>30</v>
      </c>
      <c r="R495">
        <v>50</v>
      </c>
      <c r="S495">
        <v>0.28549999999999998</v>
      </c>
    </row>
    <row r="496" spans="1:19" x14ac:dyDescent="0.25">
      <c r="A496">
        <v>1019</v>
      </c>
      <c r="B496">
        <v>3</v>
      </c>
      <c r="C496" t="s">
        <v>35</v>
      </c>
      <c r="D496">
        <v>5.18</v>
      </c>
      <c r="E496">
        <v>0.13200000000000001</v>
      </c>
      <c r="F496">
        <v>393</v>
      </c>
      <c r="G496">
        <v>150</v>
      </c>
      <c r="H496" t="s">
        <v>22</v>
      </c>
      <c r="I496" t="s">
        <v>22</v>
      </c>
      <c r="J496" t="s">
        <v>22</v>
      </c>
      <c r="K496" t="s">
        <v>22</v>
      </c>
      <c r="L496">
        <v>89.23</v>
      </c>
      <c r="M496">
        <v>8.1999999999999993</v>
      </c>
      <c r="N496" t="s">
        <v>32</v>
      </c>
      <c r="O496" t="s">
        <v>22</v>
      </c>
      <c r="P496">
        <v>30</v>
      </c>
      <c r="Q496">
        <v>30</v>
      </c>
      <c r="R496">
        <v>60</v>
      </c>
      <c r="S496">
        <v>0.29220000000000002</v>
      </c>
    </row>
    <row r="497" spans="1:19" x14ac:dyDescent="0.25">
      <c r="A497">
        <v>1019</v>
      </c>
      <c r="B497">
        <v>3</v>
      </c>
      <c r="C497" t="s">
        <v>35</v>
      </c>
      <c r="D497">
        <v>5.18</v>
      </c>
      <c r="E497">
        <v>0.13200000000000001</v>
      </c>
      <c r="F497">
        <v>393</v>
      </c>
      <c r="G497">
        <v>150</v>
      </c>
      <c r="H497" t="s">
        <v>22</v>
      </c>
      <c r="I497" t="s">
        <v>22</v>
      </c>
      <c r="J497" t="s">
        <v>22</v>
      </c>
      <c r="K497" t="s">
        <v>22</v>
      </c>
      <c r="L497">
        <v>89.23</v>
      </c>
      <c r="M497">
        <v>8.1999999999999993</v>
      </c>
      <c r="N497" t="s">
        <v>32</v>
      </c>
      <c r="O497" t="s">
        <v>22</v>
      </c>
      <c r="P497">
        <v>30</v>
      </c>
      <c r="Q497">
        <v>30</v>
      </c>
      <c r="R497">
        <v>70</v>
      </c>
      <c r="S497">
        <v>0.30640000000000001</v>
      </c>
    </row>
    <row r="498" spans="1:19" x14ac:dyDescent="0.25">
      <c r="A498">
        <v>1019</v>
      </c>
      <c r="B498">
        <v>3</v>
      </c>
      <c r="C498" t="s">
        <v>35</v>
      </c>
      <c r="D498">
        <v>5.18</v>
      </c>
      <c r="E498">
        <v>0.13200000000000001</v>
      </c>
      <c r="F498">
        <v>393</v>
      </c>
      <c r="G498">
        <v>150</v>
      </c>
      <c r="H498" t="s">
        <v>22</v>
      </c>
      <c r="I498" t="s">
        <v>22</v>
      </c>
      <c r="J498" t="s">
        <v>22</v>
      </c>
      <c r="K498" t="s">
        <v>22</v>
      </c>
      <c r="L498">
        <v>89.23</v>
      </c>
      <c r="M498">
        <v>8.1999999999999993</v>
      </c>
      <c r="N498" t="s">
        <v>32</v>
      </c>
      <c r="O498" t="s">
        <v>22</v>
      </c>
      <c r="P498">
        <v>30</v>
      </c>
      <c r="Q498">
        <v>30</v>
      </c>
      <c r="R498">
        <v>80</v>
      </c>
      <c r="S498">
        <v>0.30890000000000001</v>
      </c>
    </row>
    <row r="499" spans="1:19" x14ac:dyDescent="0.25">
      <c r="A499">
        <v>1019</v>
      </c>
      <c r="B499">
        <v>3</v>
      </c>
      <c r="C499" t="s">
        <v>35</v>
      </c>
      <c r="D499">
        <v>5.18</v>
      </c>
      <c r="E499">
        <v>0.13200000000000001</v>
      </c>
      <c r="F499">
        <v>393</v>
      </c>
      <c r="G499">
        <v>150</v>
      </c>
      <c r="H499" t="s">
        <v>22</v>
      </c>
      <c r="I499" t="s">
        <v>22</v>
      </c>
      <c r="J499" t="s">
        <v>22</v>
      </c>
      <c r="K499" t="s">
        <v>22</v>
      </c>
      <c r="L499">
        <v>89.23</v>
      </c>
      <c r="M499">
        <v>8.1999999999999993</v>
      </c>
      <c r="N499" t="s">
        <v>32</v>
      </c>
      <c r="O499" t="s">
        <v>22</v>
      </c>
      <c r="P499">
        <v>30</v>
      </c>
      <c r="Q499">
        <v>30</v>
      </c>
      <c r="R499">
        <v>90</v>
      </c>
      <c r="S499">
        <v>0.31290000000000001</v>
      </c>
    </row>
    <row r="500" spans="1:19" x14ac:dyDescent="0.25">
      <c r="A500">
        <v>1019</v>
      </c>
      <c r="B500">
        <v>3</v>
      </c>
      <c r="C500" t="s">
        <v>35</v>
      </c>
      <c r="D500">
        <v>5.18</v>
      </c>
      <c r="E500">
        <v>0.13200000000000001</v>
      </c>
      <c r="F500">
        <v>393</v>
      </c>
      <c r="G500">
        <v>150</v>
      </c>
      <c r="H500" t="s">
        <v>22</v>
      </c>
      <c r="I500" t="s">
        <v>22</v>
      </c>
      <c r="J500" t="s">
        <v>22</v>
      </c>
      <c r="K500" t="s">
        <v>22</v>
      </c>
      <c r="L500">
        <v>89.23</v>
      </c>
      <c r="M500">
        <v>8.1999999999999993</v>
      </c>
      <c r="N500" t="s">
        <v>32</v>
      </c>
      <c r="O500" t="s">
        <v>22</v>
      </c>
      <c r="P500">
        <v>30</v>
      </c>
      <c r="Q500">
        <v>30</v>
      </c>
      <c r="R500">
        <v>100</v>
      </c>
      <c r="S500">
        <v>0.31419999999999998</v>
      </c>
    </row>
    <row r="501" spans="1:19" x14ac:dyDescent="0.25">
      <c r="A501">
        <v>1019</v>
      </c>
      <c r="B501">
        <v>3</v>
      </c>
      <c r="C501" t="s">
        <v>35</v>
      </c>
      <c r="D501">
        <v>5.18</v>
      </c>
      <c r="E501">
        <v>0.13200000000000001</v>
      </c>
      <c r="F501">
        <v>393</v>
      </c>
      <c r="G501">
        <v>150</v>
      </c>
      <c r="H501" t="s">
        <v>22</v>
      </c>
      <c r="I501" t="s">
        <v>22</v>
      </c>
      <c r="J501" t="s">
        <v>22</v>
      </c>
      <c r="K501" t="s">
        <v>22</v>
      </c>
      <c r="L501">
        <v>89.23</v>
      </c>
      <c r="M501">
        <v>8.1999999999999993</v>
      </c>
      <c r="N501" t="s">
        <v>32</v>
      </c>
      <c r="O501" t="s">
        <v>22</v>
      </c>
      <c r="P501">
        <v>30</v>
      </c>
      <c r="Q501">
        <v>30</v>
      </c>
      <c r="R501">
        <v>105</v>
      </c>
      <c r="S501">
        <v>0.31859999999999999</v>
      </c>
    </row>
    <row r="502" spans="1:19" x14ac:dyDescent="0.25">
      <c r="A502">
        <v>1019</v>
      </c>
      <c r="B502">
        <v>4</v>
      </c>
      <c r="C502" t="s">
        <v>28</v>
      </c>
      <c r="D502">
        <v>4.57</v>
      </c>
      <c r="E502">
        <v>1.1000000000000001</v>
      </c>
      <c r="F502">
        <v>340</v>
      </c>
      <c r="G502">
        <v>101</v>
      </c>
      <c r="H502" t="s">
        <v>22</v>
      </c>
      <c r="I502" t="s">
        <v>22</v>
      </c>
      <c r="J502" t="s">
        <v>22</v>
      </c>
      <c r="K502" t="s">
        <v>22</v>
      </c>
      <c r="L502">
        <v>89.23</v>
      </c>
      <c r="M502">
        <v>8.1999999999999993</v>
      </c>
      <c r="N502" t="s">
        <v>29</v>
      </c>
      <c r="O502" t="s">
        <v>22</v>
      </c>
      <c r="P502">
        <v>30</v>
      </c>
      <c r="Q502">
        <v>30</v>
      </c>
      <c r="R502">
        <v>10</v>
      </c>
      <c r="S502">
        <v>0.1825</v>
      </c>
    </row>
    <row r="503" spans="1:19" x14ac:dyDescent="0.25">
      <c r="A503">
        <v>1019</v>
      </c>
      <c r="B503">
        <v>4</v>
      </c>
      <c r="C503" t="s">
        <v>28</v>
      </c>
      <c r="D503">
        <v>4.57</v>
      </c>
      <c r="E503">
        <v>1.1000000000000001</v>
      </c>
      <c r="F503">
        <v>340</v>
      </c>
      <c r="G503">
        <v>101</v>
      </c>
      <c r="H503" t="s">
        <v>22</v>
      </c>
      <c r="I503" t="s">
        <v>22</v>
      </c>
      <c r="J503" t="s">
        <v>22</v>
      </c>
      <c r="K503" t="s">
        <v>22</v>
      </c>
      <c r="L503">
        <v>89.23</v>
      </c>
      <c r="M503">
        <v>8.1999999999999993</v>
      </c>
      <c r="N503" t="s">
        <v>29</v>
      </c>
      <c r="O503" t="s">
        <v>22</v>
      </c>
      <c r="P503">
        <v>30</v>
      </c>
      <c r="Q503">
        <v>30</v>
      </c>
      <c r="R503">
        <v>20</v>
      </c>
      <c r="S503">
        <v>0.23250000000000001</v>
      </c>
    </row>
    <row r="504" spans="1:19" x14ac:dyDescent="0.25">
      <c r="A504">
        <v>1019</v>
      </c>
      <c r="B504">
        <v>4</v>
      </c>
      <c r="C504" t="s">
        <v>28</v>
      </c>
      <c r="D504">
        <v>4.57</v>
      </c>
      <c r="E504">
        <v>1.1000000000000001</v>
      </c>
      <c r="F504">
        <v>340</v>
      </c>
      <c r="G504">
        <v>101</v>
      </c>
      <c r="H504" t="s">
        <v>22</v>
      </c>
      <c r="I504" t="s">
        <v>22</v>
      </c>
      <c r="J504" t="s">
        <v>22</v>
      </c>
      <c r="K504" t="s">
        <v>22</v>
      </c>
      <c r="L504">
        <v>89.23</v>
      </c>
      <c r="M504">
        <v>8.1999999999999993</v>
      </c>
      <c r="N504" t="s">
        <v>29</v>
      </c>
      <c r="O504" t="s">
        <v>22</v>
      </c>
      <c r="P504">
        <v>30</v>
      </c>
      <c r="Q504">
        <v>30</v>
      </c>
      <c r="R504">
        <v>30</v>
      </c>
      <c r="S504">
        <v>0.32500000000000001</v>
      </c>
    </row>
    <row r="505" spans="1:19" x14ac:dyDescent="0.25">
      <c r="A505">
        <v>1019</v>
      </c>
      <c r="B505">
        <v>4</v>
      </c>
      <c r="C505" t="s">
        <v>28</v>
      </c>
      <c r="D505">
        <v>4.57</v>
      </c>
      <c r="E505">
        <v>1.1000000000000001</v>
      </c>
      <c r="F505">
        <v>340</v>
      </c>
      <c r="G505">
        <v>101</v>
      </c>
      <c r="H505" t="s">
        <v>22</v>
      </c>
      <c r="I505" t="s">
        <v>22</v>
      </c>
      <c r="J505" t="s">
        <v>22</v>
      </c>
      <c r="K505" t="s">
        <v>22</v>
      </c>
      <c r="L505">
        <v>89.23</v>
      </c>
      <c r="M505">
        <v>8.1999999999999993</v>
      </c>
      <c r="N505" t="s">
        <v>29</v>
      </c>
      <c r="O505" t="s">
        <v>22</v>
      </c>
      <c r="P505">
        <v>30</v>
      </c>
      <c r="Q505">
        <v>30</v>
      </c>
      <c r="R505">
        <v>40</v>
      </c>
      <c r="S505">
        <v>0.36730000000000002</v>
      </c>
    </row>
    <row r="506" spans="1:19" x14ac:dyDescent="0.25">
      <c r="A506">
        <v>1019</v>
      </c>
      <c r="B506">
        <v>4</v>
      </c>
      <c r="C506" t="s">
        <v>28</v>
      </c>
      <c r="D506">
        <v>4.57</v>
      </c>
      <c r="E506">
        <v>1.1000000000000001</v>
      </c>
      <c r="F506">
        <v>340</v>
      </c>
      <c r="G506">
        <v>101</v>
      </c>
      <c r="H506" t="s">
        <v>22</v>
      </c>
      <c r="I506" t="s">
        <v>22</v>
      </c>
      <c r="J506" t="s">
        <v>22</v>
      </c>
      <c r="K506" t="s">
        <v>22</v>
      </c>
      <c r="L506">
        <v>89.23</v>
      </c>
      <c r="M506">
        <v>8.1999999999999993</v>
      </c>
      <c r="N506" t="s">
        <v>29</v>
      </c>
      <c r="O506" t="s">
        <v>22</v>
      </c>
      <c r="P506">
        <v>30</v>
      </c>
      <c r="Q506">
        <v>30</v>
      </c>
      <c r="R506">
        <v>50</v>
      </c>
      <c r="S506">
        <v>0.41139999999999999</v>
      </c>
    </row>
    <row r="507" spans="1:19" x14ac:dyDescent="0.25">
      <c r="A507">
        <v>1019</v>
      </c>
      <c r="B507">
        <v>4</v>
      </c>
      <c r="C507" t="s">
        <v>28</v>
      </c>
      <c r="D507">
        <v>4.57</v>
      </c>
      <c r="E507">
        <v>1.1000000000000001</v>
      </c>
      <c r="F507">
        <v>340</v>
      </c>
      <c r="G507">
        <v>101</v>
      </c>
      <c r="H507" t="s">
        <v>22</v>
      </c>
      <c r="I507" t="s">
        <v>22</v>
      </c>
      <c r="J507" t="s">
        <v>22</v>
      </c>
      <c r="K507" t="s">
        <v>22</v>
      </c>
      <c r="L507">
        <v>89.23</v>
      </c>
      <c r="M507">
        <v>8.1999999999999993</v>
      </c>
      <c r="N507" t="s">
        <v>29</v>
      </c>
      <c r="O507" t="s">
        <v>22</v>
      </c>
      <c r="P507">
        <v>30</v>
      </c>
      <c r="Q507">
        <v>30</v>
      </c>
      <c r="R507">
        <v>60</v>
      </c>
      <c r="S507">
        <v>0.45</v>
      </c>
    </row>
    <row r="508" spans="1:19" x14ac:dyDescent="0.25">
      <c r="A508">
        <v>1019</v>
      </c>
      <c r="B508">
        <v>4</v>
      </c>
      <c r="C508" t="s">
        <v>28</v>
      </c>
      <c r="D508">
        <v>4.57</v>
      </c>
      <c r="E508">
        <v>1.1000000000000001</v>
      </c>
      <c r="F508">
        <v>340</v>
      </c>
      <c r="G508">
        <v>101</v>
      </c>
      <c r="H508" t="s">
        <v>22</v>
      </c>
      <c r="I508" t="s">
        <v>22</v>
      </c>
      <c r="J508" t="s">
        <v>22</v>
      </c>
      <c r="K508" t="s">
        <v>22</v>
      </c>
      <c r="L508">
        <v>89.23</v>
      </c>
      <c r="M508">
        <v>8.1999999999999993</v>
      </c>
      <c r="N508" t="s">
        <v>29</v>
      </c>
      <c r="O508" t="s">
        <v>22</v>
      </c>
      <c r="P508">
        <v>30</v>
      </c>
      <c r="Q508">
        <v>30</v>
      </c>
      <c r="R508">
        <v>70</v>
      </c>
      <c r="S508">
        <v>0.46250000000000002</v>
      </c>
    </row>
    <row r="509" spans="1:19" x14ac:dyDescent="0.25">
      <c r="A509">
        <v>1019</v>
      </c>
      <c r="B509">
        <v>4</v>
      </c>
      <c r="C509" t="s">
        <v>28</v>
      </c>
      <c r="D509">
        <v>4.57</v>
      </c>
      <c r="E509">
        <v>1.1000000000000001</v>
      </c>
      <c r="F509">
        <v>340</v>
      </c>
      <c r="G509">
        <v>101</v>
      </c>
      <c r="H509" t="s">
        <v>22</v>
      </c>
      <c r="I509" t="s">
        <v>22</v>
      </c>
      <c r="J509" t="s">
        <v>22</v>
      </c>
      <c r="K509" t="s">
        <v>22</v>
      </c>
      <c r="L509">
        <v>89.23</v>
      </c>
      <c r="M509">
        <v>8.1999999999999993</v>
      </c>
      <c r="N509" t="s">
        <v>29</v>
      </c>
      <c r="O509" t="s">
        <v>22</v>
      </c>
      <c r="P509">
        <v>30</v>
      </c>
      <c r="Q509">
        <v>30</v>
      </c>
      <c r="R509">
        <v>80</v>
      </c>
      <c r="S509">
        <v>0.47599999999999998</v>
      </c>
    </row>
    <row r="510" spans="1:19" x14ac:dyDescent="0.25">
      <c r="A510">
        <v>1019</v>
      </c>
      <c r="B510">
        <v>4</v>
      </c>
      <c r="C510" t="s">
        <v>28</v>
      </c>
      <c r="D510">
        <v>4.57</v>
      </c>
      <c r="E510">
        <v>1.1000000000000001</v>
      </c>
      <c r="F510">
        <v>340</v>
      </c>
      <c r="G510">
        <v>101</v>
      </c>
      <c r="H510" t="s">
        <v>22</v>
      </c>
      <c r="I510" t="s">
        <v>22</v>
      </c>
      <c r="J510" t="s">
        <v>22</v>
      </c>
      <c r="K510" t="s">
        <v>22</v>
      </c>
      <c r="L510">
        <v>89.23</v>
      </c>
      <c r="M510">
        <v>8.1999999999999993</v>
      </c>
      <c r="N510" t="s">
        <v>29</v>
      </c>
      <c r="O510" t="s">
        <v>22</v>
      </c>
      <c r="P510">
        <v>30</v>
      </c>
      <c r="Q510">
        <v>30</v>
      </c>
      <c r="R510">
        <v>90</v>
      </c>
      <c r="S510">
        <v>0.52039999999999997</v>
      </c>
    </row>
    <row r="511" spans="1:19" x14ac:dyDescent="0.25">
      <c r="A511">
        <v>1019</v>
      </c>
      <c r="B511">
        <v>4</v>
      </c>
      <c r="C511" t="s">
        <v>28</v>
      </c>
      <c r="D511">
        <v>4.57</v>
      </c>
      <c r="E511">
        <v>1.1000000000000001</v>
      </c>
      <c r="F511">
        <v>340</v>
      </c>
      <c r="G511">
        <v>101</v>
      </c>
      <c r="H511" t="s">
        <v>22</v>
      </c>
      <c r="I511" t="s">
        <v>22</v>
      </c>
      <c r="J511" t="s">
        <v>22</v>
      </c>
      <c r="K511" t="s">
        <v>22</v>
      </c>
      <c r="L511">
        <v>89.23</v>
      </c>
      <c r="M511">
        <v>8.1999999999999993</v>
      </c>
      <c r="N511" t="s">
        <v>29</v>
      </c>
      <c r="O511" t="s">
        <v>22</v>
      </c>
      <c r="P511">
        <v>30</v>
      </c>
      <c r="Q511">
        <v>30</v>
      </c>
      <c r="R511">
        <v>100</v>
      </c>
      <c r="S511">
        <v>0.5</v>
      </c>
    </row>
    <row r="512" spans="1:19" x14ac:dyDescent="0.25">
      <c r="A512">
        <v>1019</v>
      </c>
      <c r="B512">
        <v>4</v>
      </c>
      <c r="C512" t="s">
        <v>28</v>
      </c>
      <c r="D512">
        <v>4.57</v>
      </c>
      <c r="E512">
        <v>1.1000000000000001</v>
      </c>
      <c r="F512">
        <v>340</v>
      </c>
      <c r="G512">
        <v>101</v>
      </c>
      <c r="H512" t="s">
        <v>22</v>
      </c>
      <c r="I512" t="s">
        <v>22</v>
      </c>
      <c r="J512" t="s">
        <v>22</v>
      </c>
      <c r="K512" t="s">
        <v>22</v>
      </c>
      <c r="L512">
        <v>89.23</v>
      </c>
      <c r="M512">
        <v>8.1999999999999993</v>
      </c>
      <c r="N512" t="s">
        <v>29</v>
      </c>
      <c r="O512" t="s">
        <v>22</v>
      </c>
      <c r="P512">
        <v>30</v>
      </c>
      <c r="Q512">
        <v>30</v>
      </c>
      <c r="R512">
        <v>105</v>
      </c>
      <c r="S512">
        <v>0.49299999999999999</v>
      </c>
    </row>
    <row r="513" spans="1:19" x14ac:dyDescent="0.25">
      <c r="A513">
        <v>1019</v>
      </c>
      <c r="B513">
        <v>4</v>
      </c>
      <c r="C513" t="s">
        <v>35</v>
      </c>
      <c r="D513">
        <v>5.18</v>
      </c>
      <c r="E513">
        <v>0.13200000000000001</v>
      </c>
      <c r="F513">
        <v>393</v>
      </c>
      <c r="G513">
        <v>150</v>
      </c>
      <c r="H513" t="s">
        <v>22</v>
      </c>
      <c r="I513" t="s">
        <v>22</v>
      </c>
      <c r="J513" t="s">
        <v>22</v>
      </c>
      <c r="K513" t="s">
        <v>22</v>
      </c>
      <c r="L513">
        <v>89.23</v>
      </c>
      <c r="M513">
        <v>8.1999999999999993</v>
      </c>
      <c r="N513" t="s">
        <v>32</v>
      </c>
      <c r="O513" t="s">
        <v>22</v>
      </c>
      <c r="P513">
        <v>30</v>
      </c>
      <c r="Q513">
        <v>30</v>
      </c>
      <c r="R513">
        <v>10</v>
      </c>
      <c r="S513">
        <v>3.9800000000000002E-2</v>
      </c>
    </row>
    <row r="514" spans="1:19" x14ac:dyDescent="0.25">
      <c r="A514">
        <v>1019</v>
      </c>
      <c r="B514">
        <v>4</v>
      </c>
      <c r="C514" t="s">
        <v>35</v>
      </c>
      <c r="D514">
        <v>5.18</v>
      </c>
      <c r="E514">
        <v>0.13200000000000001</v>
      </c>
      <c r="F514">
        <v>393</v>
      </c>
      <c r="G514">
        <v>150</v>
      </c>
      <c r="H514" t="s">
        <v>22</v>
      </c>
      <c r="I514" t="s">
        <v>22</v>
      </c>
      <c r="J514" t="s">
        <v>22</v>
      </c>
      <c r="K514" t="s">
        <v>22</v>
      </c>
      <c r="L514">
        <v>89.23</v>
      </c>
      <c r="M514">
        <v>8.1999999999999993</v>
      </c>
      <c r="N514" t="s">
        <v>32</v>
      </c>
      <c r="O514" t="s">
        <v>22</v>
      </c>
      <c r="P514">
        <v>30</v>
      </c>
      <c r="Q514">
        <v>30</v>
      </c>
      <c r="R514">
        <v>20</v>
      </c>
      <c r="S514">
        <v>0.12770000000000001</v>
      </c>
    </row>
    <row r="515" spans="1:19" x14ac:dyDescent="0.25">
      <c r="A515">
        <v>1019</v>
      </c>
      <c r="B515">
        <v>4</v>
      </c>
      <c r="C515" t="s">
        <v>35</v>
      </c>
      <c r="D515">
        <v>5.18</v>
      </c>
      <c r="E515">
        <v>0.13200000000000001</v>
      </c>
      <c r="F515">
        <v>393</v>
      </c>
      <c r="G515">
        <v>150</v>
      </c>
      <c r="H515" t="s">
        <v>22</v>
      </c>
      <c r="I515" t="s">
        <v>22</v>
      </c>
      <c r="J515" t="s">
        <v>22</v>
      </c>
      <c r="K515" t="s">
        <v>22</v>
      </c>
      <c r="L515">
        <v>89.23</v>
      </c>
      <c r="M515">
        <v>8.1999999999999993</v>
      </c>
      <c r="N515" t="s">
        <v>32</v>
      </c>
      <c r="O515" t="s">
        <v>22</v>
      </c>
      <c r="P515">
        <v>30</v>
      </c>
      <c r="Q515">
        <v>30</v>
      </c>
      <c r="R515">
        <v>30</v>
      </c>
      <c r="S515">
        <v>0.18149999999999999</v>
      </c>
    </row>
    <row r="516" spans="1:19" x14ac:dyDescent="0.25">
      <c r="A516">
        <v>1019</v>
      </c>
      <c r="B516">
        <v>4</v>
      </c>
      <c r="C516" t="s">
        <v>35</v>
      </c>
      <c r="D516">
        <v>5.18</v>
      </c>
      <c r="E516">
        <v>0.13200000000000001</v>
      </c>
      <c r="F516">
        <v>393</v>
      </c>
      <c r="G516">
        <v>150</v>
      </c>
      <c r="H516" t="s">
        <v>22</v>
      </c>
      <c r="I516" t="s">
        <v>22</v>
      </c>
      <c r="J516" t="s">
        <v>22</v>
      </c>
      <c r="K516" t="s">
        <v>22</v>
      </c>
      <c r="L516">
        <v>89.23</v>
      </c>
      <c r="M516">
        <v>8.1999999999999993</v>
      </c>
      <c r="N516" t="s">
        <v>32</v>
      </c>
      <c r="O516" t="s">
        <v>22</v>
      </c>
      <c r="P516">
        <v>30</v>
      </c>
      <c r="Q516">
        <v>30</v>
      </c>
      <c r="R516">
        <v>40</v>
      </c>
      <c r="S516">
        <v>0.2</v>
      </c>
    </row>
    <row r="517" spans="1:19" x14ac:dyDescent="0.25">
      <c r="A517">
        <v>1019</v>
      </c>
      <c r="B517">
        <v>4</v>
      </c>
      <c r="C517" t="s">
        <v>35</v>
      </c>
      <c r="D517">
        <v>5.18</v>
      </c>
      <c r="E517">
        <v>0.13200000000000001</v>
      </c>
      <c r="F517">
        <v>393</v>
      </c>
      <c r="G517">
        <v>150</v>
      </c>
      <c r="H517" t="s">
        <v>22</v>
      </c>
      <c r="I517" t="s">
        <v>22</v>
      </c>
      <c r="J517" t="s">
        <v>22</v>
      </c>
      <c r="K517" t="s">
        <v>22</v>
      </c>
      <c r="L517">
        <v>89.23</v>
      </c>
      <c r="M517">
        <v>8.1999999999999993</v>
      </c>
      <c r="N517" t="s">
        <v>32</v>
      </c>
      <c r="O517" t="s">
        <v>22</v>
      </c>
      <c r="P517">
        <v>30</v>
      </c>
      <c r="Q517">
        <v>30</v>
      </c>
      <c r="R517">
        <v>50</v>
      </c>
      <c r="S517">
        <v>0.28360000000000002</v>
      </c>
    </row>
    <row r="518" spans="1:19" x14ac:dyDescent="0.25">
      <c r="A518">
        <v>1019</v>
      </c>
      <c r="B518">
        <v>4</v>
      </c>
      <c r="C518" t="s">
        <v>35</v>
      </c>
      <c r="D518">
        <v>5.18</v>
      </c>
      <c r="E518">
        <v>0.13200000000000001</v>
      </c>
      <c r="F518">
        <v>393</v>
      </c>
      <c r="G518">
        <v>150</v>
      </c>
      <c r="H518" t="s">
        <v>22</v>
      </c>
      <c r="I518" t="s">
        <v>22</v>
      </c>
      <c r="J518" t="s">
        <v>22</v>
      </c>
      <c r="K518" t="s">
        <v>22</v>
      </c>
      <c r="L518">
        <v>89.23</v>
      </c>
      <c r="M518">
        <v>8.1999999999999993</v>
      </c>
      <c r="N518" t="s">
        <v>32</v>
      </c>
      <c r="O518" t="s">
        <v>22</v>
      </c>
      <c r="P518">
        <v>30</v>
      </c>
      <c r="Q518">
        <v>30</v>
      </c>
      <c r="R518">
        <v>60</v>
      </c>
      <c r="S518">
        <v>0.3624</v>
      </c>
    </row>
    <row r="519" spans="1:19" x14ac:dyDescent="0.25">
      <c r="A519">
        <v>1019</v>
      </c>
      <c r="B519">
        <v>4</v>
      </c>
      <c r="C519" t="s">
        <v>35</v>
      </c>
      <c r="D519">
        <v>5.18</v>
      </c>
      <c r="E519">
        <v>0.13200000000000001</v>
      </c>
      <c r="F519">
        <v>393</v>
      </c>
      <c r="G519">
        <v>150</v>
      </c>
      <c r="H519" t="s">
        <v>22</v>
      </c>
      <c r="I519" t="s">
        <v>22</v>
      </c>
      <c r="J519" t="s">
        <v>22</v>
      </c>
      <c r="K519" t="s">
        <v>22</v>
      </c>
      <c r="L519">
        <v>89.23</v>
      </c>
      <c r="M519">
        <v>8.1999999999999993</v>
      </c>
      <c r="N519" t="s">
        <v>32</v>
      </c>
      <c r="O519" t="s">
        <v>22</v>
      </c>
      <c r="P519">
        <v>30</v>
      </c>
      <c r="Q519">
        <v>30</v>
      </c>
      <c r="R519">
        <v>70</v>
      </c>
      <c r="S519">
        <v>0.37119999999999997</v>
      </c>
    </row>
    <row r="520" spans="1:19" x14ac:dyDescent="0.25">
      <c r="A520">
        <v>1019</v>
      </c>
      <c r="B520">
        <v>4</v>
      </c>
      <c r="C520" t="s">
        <v>35</v>
      </c>
      <c r="D520">
        <v>5.18</v>
      </c>
      <c r="E520">
        <v>0.13200000000000001</v>
      </c>
      <c r="F520">
        <v>393</v>
      </c>
      <c r="G520">
        <v>150</v>
      </c>
      <c r="H520" t="s">
        <v>22</v>
      </c>
      <c r="I520" t="s">
        <v>22</v>
      </c>
      <c r="J520" t="s">
        <v>22</v>
      </c>
      <c r="K520" t="s">
        <v>22</v>
      </c>
      <c r="L520">
        <v>89.23</v>
      </c>
      <c r="M520">
        <v>8.1999999999999993</v>
      </c>
      <c r="N520" t="s">
        <v>32</v>
      </c>
      <c r="O520" t="s">
        <v>22</v>
      </c>
      <c r="P520">
        <v>30</v>
      </c>
      <c r="Q520">
        <v>30</v>
      </c>
      <c r="R520">
        <v>80</v>
      </c>
      <c r="S520">
        <v>0.38009999999999999</v>
      </c>
    </row>
    <row r="521" spans="1:19" x14ac:dyDescent="0.25">
      <c r="A521">
        <v>1019</v>
      </c>
      <c r="B521">
        <v>4</v>
      </c>
      <c r="C521" t="s">
        <v>35</v>
      </c>
      <c r="D521">
        <v>5.18</v>
      </c>
      <c r="E521">
        <v>0.13200000000000001</v>
      </c>
      <c r="F521">
        <v>393</v>
      </c>
      <c r="G521">
        <v>150</v>
      </c>
      <c r="H521" t="s">
        <v>22</v>
      </c>
      <c r="I521" t="s">
        <v>22</v>
      </c>
      <c r="J521" t="s">
        <v>22</v>
      </c>
      <c r="K521" t="s">
        <v>22</v>
      </c>
      <c r="L521">
        <v>89.23</v>
      </c>
      <c r="M521">
        <v>8.1999999999999993</v>
      </c>
      <c r="N521" t="s">
        <v>32</v>
      </c>
      <c r="O521" t="s">
        <v>22</v>
      </c>
      <c r="P521">
        <v>30</v>
      </c>
      <c r="Q521">
        <v>30</v>
      </c>
      <c r="R521">
        <v>90</v>
      </c>
      <c r="S521">
        <v>0.38290000000000002</v>
      </c>
    </row>
    <row r="522" spans="1:19" x14ac:dyDescent="0.25">
      <c r="A522">
        <v>1019</v>
      </c>
      <c r="B522">
        <v>4</v>
      </c>
      <c r="C522" t="s">
        <v>35</v>
      </c>
      <c r="D522">
        <v>5.18</v>
      </c>
      <c r="E522">
        <v>0.13200000000000001</v>
      </c>
      <c r="F522">
        <v>393</v>
      </c>
      <c r="G522">
        <v>150</v>
      </c>
      <c r="H522" t="s">
        <v>22</v>
      </c>
      <c r="I522" t="s">
        <v>22</v>
      </c>
      <c r="J522" t="s">
        <v>22</v>
      </c>
      <c r="K522" t="s">
        <v>22</v>
      </c>
      <c r="L522">
        <v>89.23</v>
      </c>
      <c r="M522">
        <v>8.1999999999999993</v>
      </c>
      <c r="N522" t="s">
        <v>32</v>
      </c>
      <c r="O522" t="s">
        <v>22</v>
      </c>
      <c r="P522">
        <v>30</v>
      </c>
      <c r="Q522">
        <v>30</v>
      </c>
      <c r="R522">
        <v>100</v>
      </c>
      <c r="S522">
        <v>0.37519999999999998</v>
      </c>
    </row>
    <row r="523" spans="1:19" x14ac:dyDescent="0.25">
      <c r="A523">
        <v>1019</v>
      </c>
      <c r="B523">
        <v>4</v>
      </c>
      <c r="C523" t="s">
        <v>35</v>
      </c>
      <c r="D523">
        <v>5.18</v>
      </c>
      <c r="E523">
        <v>0.13200000000000001</v>
      </c>
      <c r="F523">
        <v>393</v>
      </c>
      <c r="G523">
        <v>150</v>
      </c>
      <c r="H523" t="s">
        <v>22</v>
      </c>
      <c r="I523" t="s">
        <v>22</v>
      </c>
      <c r="J523" t="s">
        <v>22</v>
      </c>
      <c r="K523" t="s">
        <v>22</v>
      </c>
      <c r="L523">
        <v>89.23</v>
      </c>
      <c r="M523">
        <v>8.1999999999999993</v>
      </c>
      <c r="N523" t="s">
        <v>32</v>
      </c>
      <c r="O523" t="s">
        <v>22</v>
      </c>
      <c r="P523">
        <v>30</v>
      </c>
      <c r="Q523">
        <v>30</v>
      </c>
      <c r="R523">
        <v>105</v>
      </c>
      <c r="S523">
        <v>0.3695</v>
      </c>
    </row>
    <row r="524" spans="1:19" x14ac:dyDescent="0.25">
      <c r="A524">
        <v>1019</v>
      </c>
      <c r="B524">
        <v>5</v>
      </c>
      <c r="C524" t="s">
        <v>28</v>
      </c>
      <c r="D524">
        <v>4.57</v>
      </c>
      <c r="E524">
        <v>1.1000000000000001</v>
      </c>
      <c r="F524">
        <v>340</v>
      </c>
      <c r="G524">
        <v>101</v>
      </c>
      <c r="H524" t="s">
        <v>22</v>
      </c>
      <c r="I524" t="s">
        <v>22</v>
      </c>
      <c r="J524" t="s">
        <v>22</v>
      </c>
      <c r="K524" t="s">
        <v>22</v>
      </c>
      <c r="L524">
        <v>89.23</v>
      </c>
      <c r="M524">
        <v>8.1999999999999993</v>
      </c>
      <c r="N524" t="s">
        <v>29</v>
      </c>
      <c r="O524" t="s">
        <v>22</v>
      </c>
      <c r="P524">
        <v>30</v>
      </c>
      <c r="Q524">
        <v>30</v>
      </c>
      <c r="R524">
        <v>10</v>
      </c>
      <c r="S524">
        <v>4.9299999999999997E-2</v>
      </c>
    </row>
    <row r="525" spans="1:19" x14ac:dyDescent="0.25">
      <c r="A525">
        <v>1019</v>
      </c>
      <c r="B525">
        <v>5</v>
      </c>
      <c r="C525" t="s">
        <v>28</v>
      </c>
      <c r="D525">
        <v>4.57</v>
      </c>
      <c r="E525">
        <v>1.1000000000000001</v>
      </c>
      <c r="F525">
        <v>340</v>
      </c>
      <c r="G525">
        <v>101</v>
      </c>
      <c r="H525" t="s">
        <v>22</v>
      </c>
      <c r="I525" t="s">
        <v>22</v>
      </c>
      <c r="J525" t="s">
        <v>22</v>
      </c>
      <c r="K525" t="s">
        <v>22</v>
      </c>
      <c r="L525">
        <v>89.23</v>
      </c>
      <c r="M525">
        <v>8.1999999999999993</v>
      </c>
      <c r="N525" t="s">
        <v>29</v>
      </c>
      <c r="O525" t="s">
        <v>22</v>
      </c>
      <c r="P525">
        <v>30</v>
      </c>
      <c r="Q525">
        <v>30</v>
      </c>
      <c r="R525">
        <v>20</v>
      </c>
      <c r="S525">
        <v>7.5399999999999995E-2</v>
      </c>
    </row>
    <row r="526" spans="1:19" x14ac:dyDescent="0.25">
      <c r="A526">
        <v>1019</v>
      </c>
      <c r="B526">
        <v>5</v>
      </c>
      <c r="C526" t="s">
        <v>28</v>
      </c>
      <c r="D526">
        <v>4.57</v>
      </c>
      <c r="E526">
        <v>1.1000000000000001</v>
      </c>
      <c r="F526">
        <v>340</v>
      </c>
      <c r="G526">
        <v>101</v>
      </c>
      <c r="H526" t="s">
        <v>22</v>
      </c>
      <c r="I526" t="s">
        <v>22</v>
      </c>
      <c r="J526" t="s">
        <v>22</v>
      </c>
      <c r="K526" t="s">
        <v>22</v>
      </c>
      <c r="L526">
        <v>89.23</v>
      </c>
      <c r="M526">
        <v>8.1999999999999993</v>
      </c>
      <c r="N526" t="s">
        <v>29</v>
      </c>
      <c r="O526" t="s">
        <v>22</v>
      </c>
      <c r="P526">
        <v>30</v>
      </c>
      <c r="Q526">
        <v>30</v>
      </c>
      <c r="R526">
        <v>30</v>
      </c>
      <c r="S526">
        <v>0.1</v>
      </c>
    </row>
    <row r="527" spans="1:19" x14ac:dyDescent="0.25">
      <c r="A527">
        <v>1019</v>
      </c>
      <c r="B527">
        <v>5</v>
      </c>
      <c r="C527" t="s">
        <v>28</v>
      </c>
      <c r="D527">
        <v>4.57</v>
      </c>
      <c r="E527">
        <v>1.1000000000000001</v>
      </c>
      <c r="F527">
        <v>340</v>
      </c>
      <c r="G527">
        <v>101</v>
      </c>
      <c r="H527" t="s">
        <v>22</v>
      </c>
      <c r="I527" t="s">
        <v>22</v>
      </c>
      <c r="J527" t="s">
        <v>22</v>
      </c>
      <c r="K527" t="s">
        <v>22</v>
      </c>
      <c r="L527">
        <v>89.23</v>
      </c>
      <c r="M527">
        <v>8.1999999999999993</v>
      </c>
      <c r="N527" t="s">
        <v>29</v>
      </c>
      <c r="O527" t="s">
        <v>22</v>
      </c>
      <c r="P527">
        <v>30</v>
      </c>
      <c r="Q527">
        <v>30</v>
      </c>
      <c r="R527">
        <v>40</v>
      </c>
      <c r="S527">
        <v>0.13750000000000001</v>
      </c>
    </row>
    <row r="528" spans="1:19" x14ac:dyDescent="0.25">
      <c r="A528">
        <v>1019</v>
      </c>
      <c r="B528">
        <v>5</v>
      </c>
      <c r="C528" t="s">
        <v>28</v>
      </c>
      <c r="D528">
        <v>4.57</v>
      </c>
      <c r="E528">
        <v>1.1000000000000001</v>
      </c>
      <c r="F528">
        <v>340</v>
      </c>
      <c r="G528">
        <v>101</v>
      </c>
      <c r="H528" t="s">
        <v>22</v>
      </c>
      <c r="I528" t="s">
        <v>22</v>
      </c>
      <c r="J528" t="s">
        <v>22</v>
      </c>
      <c r="K528" t="s">
        <v>22</v>
      </c>
      <c r="L528">
        <v>89.23</v>
      </c>
      <c r="M528">
        <v>8.1999999999999993</v>
      </c>
      <c r="N528" t="s">
        <v>29</v>
      </c>
      <c r="O528" t="s">
        <v>22</v>
      </c>
      <c r="P528">
        <v>30</v>
      </c>
      <c r="Q528">
        <v>30</v>
      </c>
      <c r="R528">
        <v>50</v>
      </c>
      <c r="S528">
        <v>0.16250000000000001</v>
      </c>
    </row>
    <row r="529" spans="1:19" x14ac:dyDescent="0.25">
      <c r="A529">
        <v>1019</v>
      </c>
      <c r="B529">
        <v>5</v>
      </c>
      <c r="C529" t="s">
        <v>28</v>
      </c>
      <c r="D529">
        <v>4.57</v>
      </c>
      <c r="E529">
        <v>1.1000000000000001</v>
      </c>
      <c r="F529">
        <v>340</v>
      </c>
      <c r="G529">
        <v>101</v>
      </c>
      <c r="H529" t="s">
        <v>22</v>
      </c>
      <c r="I529" t="s">
        <v>22</v>
      </c>
      <c r="J529" t="s">
        <v>22</v>
      </c>
      <c r="K529" t="s">
        <v>22</v>
      </c>
      <c r="L529">
        <v>89.23</v>
      </c>
      <c r="M529">
        <v>8.1999999999999993</v>
      </c>
      <c r="N529" t="s">
        <v>29</v>
      </c>
      <c r="O529" t="s">
        <v>22</v>
      </c>
      <c r="P529">
        <v>30</v>
      </c>
      <c r="Q529">
        <v>30</v>
      </c>
      <c r="R529">
        <v>60</v>
      </c>
      <c r="S529">
        <v>0.1898</v>
      </c>
    </row>
    <row r="530" spans="1:19" x14ac:dyDescent="0.25">
      <c r="A530">
        <v>1019</v>
      </c>
      <c r="B530">
        <v>5</v>
      </c>
      <c r="C530" t="s">
        <v>28</v>
      </c>
      <c r="D530">
        <v>4.57</v>
      </c>
      <c r="E530">
        <v>1.1000000000000001</v>
      </c>
      <c r="F530">
        <v>340</v>
      </c>
      <c r="G530">
        <v>101</v>
      </c>
      <c r="H530" t="s">
        <v>22</v>
      </c>
      <c r="I530" t="s">
        <v>22</v>
      </c>
      <c r="J530" t="s">
        <v>22</v>
      </c>
      <c r="K530" t="s">
        <v>22</v>
      </c>
      <c r="L530">
        <v>89.23</v>
      </c>
      <c r="M530">
        <v>8.1999999999999993</v>
      </c>
      <c r="N530" t="s">
        <v>29</v>
      </c>
      <c r="O530" t="s">
        <v>22</v>
      </c>
      <c r="P530">
        <v>30</v>
      </c>
      <c r="Q530">
        <v>30</v>
      </c>
      <c r="R530">
        <v>70</v>
      </c>
      <c r="S530">
        <v>0.2</v>
      </c>
    </row>
    <row r="531" spans="1:19" x14ac:dyDescent="0.25">
      <c r="A531">
        <v>1019</v>
      </c>
      <c r="B531">
        <v>5</v>
      </c>
      <c r="C531" t="s">
        <v>28</v>
      </c>
      <c r="D531">
        <v>4.57</v>
      </c>
      <c r="E531">
        <v>1.1000000000000001</v>
      </c>
      <c r="F531">
        <v>340</v>
      </c>
      <c r="G531">
        <v>101</v>
      </c>
      <c r="H531" t="s">
        <v>22</v>
      </c>
      <c r="I531" t="s">
        <v>22</v>
      </c>
      <c r="J531" t="s">
        <v>22</v>
      </c>
      <c r="K531" t="s">
        <v>22</v>
      </c>
      <c r="L531">
        <v>89.23</v>
      </c>
      <c r="M531">
        <v>8.1999999999999993</v>
      </c>
      <c r="N531" t="s">
        <v>29</v>
      </c>
      <c r="O531" t="s">
        <v>22</v>
      </c>
      <c r="P531">
        <v>30</v>
      </c>
      <c r="Q531">
        <v>30</v>
      </c>
      <c r="R531">
        <v>80</v>
      </c>
      <c r="S531">
        <v>0.24879999999999999</v>
      </c>
    </row>
    <row r="532" spans="1:19" x14ac:dyDescent="0.25">
      <c r="A532">
        <v>1019</v>
      </c>
      <c r="B532">
        <v>5</v>
      </c>
      <c r="C532" t="s">
        <v>28</v>
      </c>
      <c r="D532">
        <v>4.57</v>
      </c>
      <c r="E532">
        <v>1.1000000000000001</v>
      </c>
      <c r="F532">
        <v>340</v>
      </c>
      <c r="G532">
        <v>101</v>
      </c>
      <c r="H532" t="s">
        <v>22</v>
      </c>
      <c r="I532" t="s">
        <v>22</v>
      </c>
      <c r="J532" t="s">
        <v>22</v>
      </c>
      <c r="K532" t="s">
        <v>22</v>
      </c>
      <c r="L532">
        <v>89.23</v>
      </c>
      <c r="M532">
        <v>8.1999999999999993</v>
      </c>
      <c r="N532" t="s">
        <v>29</v>
      </c>
      <c r="O532" t="s">
        <v>22</v>
      </c>
      <c r="P532">
        <v>30</v>
      </c>
      <c r="Q532">
        <v>30</v>
      </c>
      <c r="R532">
        <v>90</v>
      </c>
      <c r="S532">
        <v>0.23250000000000001</v>
      </c>
    </row>
    <row r="533" spans="1:19" x14ac:dyDescent="0.25">
      <c r="A533">
        <v>1019</v>
      </c>
      <c r="B533">
        <v>5</v>
      </c>
      <c r="C533" t="s">
        <v>28</v>
      </c>
      <c r="D533">
        <v>4.57</v>
      </c>
      <c r="E533">
        <v>1.1000000000000001</v>
      </c>
      <c r="F533">
        <v>340</v>
      </c>
      <c r="G533">
        <v>101</v>
      </c>
      <c r="H533" t="s">
        <v>22</v>
      </c>
      <c r="I533" t="s">
        <v>22</v>
      </c>
      <c r="J533" t="s">
        <v>22</v>
      </c>
      <c r="K533" t="s">
        <v>22</v>
      </c>
      <c r="L533">
        <v>89.23</v>
      </c>
      <c r="M533">
        <v>8.1999999999999993</v>
      </c>
      <c r="N533" t="s">
        <v>29</v>
      </c>
      <c r="O533" t="s">
        <v>22</v>
      </c>
      <c r="P533">
        <v>30</v>
      </c>
      <c r="Q533">
        <v>30</v>
      </c>
      <c r="R533">
        <v>100</v>
      </c>
      <c r="S533">
        <v>0.25</v>
      </c>
    </row>
    <row r="534" spans="1:19" x14ac:dyDescent="0.25">
      <c r="A534">
        <v>1019</v>
      </c>
      <c r="B534">
        <v>5</v>
      </c>
      <c r="C534" t="s">
        <v>28</v>
      </c>
      <c r="D534">
        <v>4.57</v>
      </c>
      <c r="E534">
        <v>1.1000000000000001</v>
      </c>
      <c r="F534">
        <v>340</v>
      </c>
      <c r="G534">
        <v>101</v>
      </c>
      <c r="H534" t="s">
        <v>22</v>
      </c>
      <c r="I534" t="s">
        <v>22</v>
      </c>
      <c r="J534" t="s">
        <v>22</v>
      </c>
      <c r="K534" t="s">
        <v>22</v>
      </c>
      <c r="L534">
        <v>89.23</v>
      </c>
      <c r="M534">
        <v>8.1999999999999993</v>
      </c>
      <c r="N534" t="s">
        <v>29</v>
      </c>
      <c r="O534" t="s">
        <v>22</v>
      </c>
      <c r="P534">
        <v>30</v>
      </c>
      <c r="Q534">
        <v>30</v>
      </c>
      <c r="R534">
        <v>105</v>
      </c>
      <c r="S534">
        <v>0.2492</v>
      </c>
    </row>
    <row r="535" spans="1:19" x14ac:dyDescent="0.25">
      <c r="A535">
        <v>1019</v>
      </c>
      <c r="B535">
        <v>5</v>
      </c>
      <c r="C535" t="s">
        <v>35</v>
      </c>
      <c r="D535">
        <v>5.18</v>
      </c>
      <c r="E535">
        <v>0.13200000000000001</v>
      </c>
      <c r="F535">
        <v>393</v>
      </c>
      <c r="G535">
        <v>150</v>
      </c>
      <c r="H535" t="s">
        <v>22</v>
      </c>
      <c r="I535" t="s">
        <v>22</v>
      </c>
      <c r="J535" t="s">
        <v>22</v>
      </c>
      <c r="K535" t="s">
        <v>22</v>
      </c>
      <c r="L535">
        <v>89.23</v>
      </c>
      <c r="M535">
        <v>8.1999999999999993</v>
      </c>
      <c r="N535" t="s">
        <v>32</v>
      </c>
      <c r="O535" t="s">
        <v>22</v>
      </c>
      <c r="P535">
        <v>30</v>
      </c>
      <c r="Q535">
        <v>30</v>
      </c>
      <c r="R535">
        <v>10</v>
      </c>
      <c r="S535">
        <v>2.58E-2</v>
      </c>
    </row>
    <row r="536" spans="1:19" x14ac:dyDescent="0.25">
      <c r="A536">
        <v>1019</v>
      </c>
      <c r="B536">
        <v>5</v>
      </c>
      <c r="C536" t="s">
        <v>35</v>
      </c>
      <c r="D536">
        <v>5.18</v>
      </c>
      <c r="E536">
        <v>0.13200000000000001</v>
      </c>
      <c r="F536">
        <v>393</v>
      </c>
      <c r="G536">
        <v>150</v>
      </c>
      <c r="H536" t="s">
        <v>22</v>
      </c>
      <c r="I536" t="s">
        <v>22</v>
      </c>
      <c r="J536" t="s">
        <v>22</v>
      </c>
      <c r="K536" t="s">
        <v>22</v>
      </c>
      <c r="L536">
        <v>89.23</v>
      </c>
      <c r="M536">
        <v>8.1999999999999993</v>
      </c>
      <c r="N536" t="s">
        <v>32</v>
      </c>
      <c r="O536" t="s">
        <v>22</v>
      </c>
      <c r="P536">
        <v>30</v>
      </c>
      <c r="Q536">
        <v>30</v>
      </c>
      <c r="R536">
        <v>20</v>
      </c>
      <c r="S536">
        <v>7.4999999999999997E-2</v>
      </c>
    </row>
    <row r="537" spans="1:19" x14ac:dyDescent="0.25">
      <c r="A537">
        <v>1019</v>
      </c>
      <c r="B537">
        <v>5</v>
      </c>
      <c r="C537" t="s">
        <v>35</v>
      </c>
      <c r="D537">
        <v>5.18</v>
      </c>
      <c r="E537">
        <v>0.13200000000000001</v>
      </c>
      <c r="F537">
        <v>393</v>
      </c>
      <c r="G537">
        <v>150</v>
      </c>
      <c r="H537" t="s">
        <v>22</v>
      </c>
      <c r="I537" t="s">
        <v>22</v>
      </c>
      <c r="J537" t="s">
        <v>22</v>
      </c>
      <c r="K537" t="s">
        <v>22</v>
      </c>
      <c r="L537">
        <v>89.23</v>
      </c>
      <c r="M537">
        <v>8.1999999999999993</v>
      </c>
      <c r="N537" t="s">
        <v>32</v>
      </c>
      <c r="O537" t="s">
        <v>22</v>
      </c>
      <c r="P537">
        <v>30</v>
      </c>
      <c r="Q537">
        <v>30</v>
      </c>
      <c r="R537">
        <v>30</v>
      </c>
      <c r="S537">
        <v>8.4199999999999997E-2</v>
      </c>
    </row>
    <row r="538" spans="1:19" x14ac:dyDescent="0.25">
      <c r="A538">
        <v>1019</v>
      </c>
      <c r="B538">
        <v>5</v>
      </c>
      <c r="C538" t="s">
        <v>35</v>
      </c>
      <c r="D538">
        <v>5.18</v>
      </c>
      <c r="E538">
        <v>0.13200000000000001</v>
      </c>
      <c r="F538">
        <v>393</v>
      </c>
      <c r="G538">
        <v>150</v>
      </c>
      <c r="H538" t="s">
        <v>22</v>
      </c>
      <c r="I538" t="s">
        <v>22</v>
      </c>
      <c r="J538" t="s">
        <v>22</v>
      </c>
      <c r="K538" t="s">
        <v>22</v>
      </c>
      <c r="L538">
        <v>89.23</v>
      </c>
      <c r="M538">
        <v>8.1999999999999993</v>
      </c>
      <c r="N538" t="s">
        <v>32</v>
      </c>
      <c r="O538" t="s">
        <v>22</v>
      </c>
      <c r="P538">
        <v>30</v>
      </c>
      <c r="Q538">
        <v>30</v>
      </c>
      <c r="R538">
        <v>40</v>
      </c>
      <c r="S538">
        <v>0.1124</v>
      </c>
    </row>
    <row r="539" spans="1:19" x14ac:dyDescent="0.25">
      <c r="A539">
        <v>1019</v>
      </c>
      <c r="B539">
        <v>5</v>
      </c>
      <c r="C539" t="s">
        <v>35</v>
      </c>
      <c r="D539">
        <v>5.18</v>
      </c>
      <c r="E539">
        <v>0.13200000000000001</v>
      </c>
      <c r="F539">
        <v>393</v>
      </c>
      <c r="G539">
        <v>150</v>
      </c>
      <c r="H539" t="s">
        <v>22</v>
      </c>
      <c r="I539" t="s">
        <v>22</v>
      </c>
      <c r="J539" t="s">
        <v>22</v>
      </c>
      <c r="K539" t="s">
        <v>22</v>
      </c>
      <c r="L539">
        <v>89.23</v>
      </c>
      <c r="M539">
        <v>8.1999999999999993</v>
      </c>
      <c r="N539" t="s">
        <v>32</v>
      </c>
      <c r="O539" t="s">
        <v>22</v>
      </c>
      <c r="P539">
        <v>30</v>
      </c>
      <c r="Q539">
        <v>30</v>
      </c>
      <c r="R539">
        <v>50</v>
      </c>
      <c r="S539">
        <v>0.1459</v>
      </c>
    </row>
    <row r="540" spans="1:19" x14ac:dyDescent="0.25">
      <c r="A540">
        <v>1019</v>
      </c>
      <c r="B540">
        <v>5</v>
      </c>
      <c r="C540" t="s">
        <v>35</v>
      </c>
      <c r="D540">
        <v>5.18</v>
      </c>
      <c r="E540">
        <v>0.13200000000000001</v>
      </c>
      <c r="F540">
        <v>393</v>
      </c>
      <c r="G540">
        <v>150</v>
      </c>
      <c r="H540" t="s">
        <v>22</v>
      </c>
      <c r="I540" t="s">
        <v>22</v>
      </c>
      <c r="J540" t="s">
        <v>22</v>
      </c>
      <c r="K540" t="s">
        <v>22</v>
      </c>
      <c r="L540">
        <v>89.23</v>
      </c>
      <c r="M540">
        <v>8.1999999999999993</v>
      </c>
      <c r="N540" t="s">
        <v>32</v>
      </c>
      <c r="O540" t="s">
        <v>22</v>
      </c>
      <c r="P540">
        <v>30</v>
      </c>
      <c r="Q540">
        <v>30</v>
      </c>
      <c r="R540">
        <v>60</v>
      </c>
      <c r="S540">
        <v>0.16289999999999999</v>
      </c>
    </row>
    <row r="541" spans="1:19" x14ac:dyDescent="0.25">
      <c r="A541">
        <v>1019</v>
      </c>
      <c r="B541">
        <v>5</v>
      </c>
      <c r="C541" t="s">
        <v>35</v>
      </c>
      <c r="D541">
        <v>5.18</v>
      </c>
      <c r="E541">
        <v>0.13200000000000001</v>
      </c>
      <c r="F541">
        <v>393</v>
      </c>
      <c r="G541">
        <v>150</v>
      </c>
      <c r="H541" t="s">
        <v>22</v>
      </c>
      <c r="I541" t="s">
        <v>22</v>
      </c>
      <c r="J541" t="s">
        <v>22</v>
      </c>
      <c r="K541" t="s">
        <v>22</v>
      </c>
      <c r="L541">
        <v>89.23</v>
      </c>
      <c r="M541">
        <v>8.1999999999999993</v>
      </c>
      <c r="N541" t="s">
        <v>32</v>
      </c>
      <c r="O541" t="s">
        <v>22</v>
      </c>
      <c r="P541">
        <v>30</v>
      </c>
      <c r="Q541">
        <v>30</v>
      </c>
      <c r="R541">
        <v>70</v>
      </c>
      <c r="S541">
        <v>0.17230000000000001</v>
      </c>
    </row>
    <row r="542" spans="1:19" x14ac:dyDescent="0.25">
      <c r="A542">
        <v>1019</v>
      </c>
      <c r="B542">
        <v>5</v>
      </c>
      <c r="C542" t="s">
        <v>35</v>
      </c>
      <c r="D542">
        <v>5.18</v>
      </c>
      <c r="E542">
        <v>0.13200000000000001</v>
      </c>
      <c r="F542">
        <v>393</v>
      </c>
      <c r="G542">
        <v>150</v>
      </c>
      <c r="H542" t="s">
        <v>22</v>
      </c>
      <c r="I542" t="s">
        <v>22</v>
      </c>
      <c r="J542" t="s">
        <v>22</v>
      </c>
      <c r="K542" t="s">
        <v>22</v>
      </c>
      <c r="L542">
        <v>89.23</v>
      </c>
      <c r="M542">
        <v>8.1999999999999993</v>
      </c>
      <c r="N542" t="s">
        <v>32</v>
      </c>
      <c r="O542" t="s">
        <v>22</v>
      </c>
      <c r="P542">
        <v>30</v>
      </c>
      <c r="Q542">
        <v>30</v>
      </c>
      <c r="R542">
        <v>80</v>
      </c>
      <c r="S542">
        <v>0.1706</v>
      </c>
    </row>
    <row r="543" spans="1:19" x14ac:dyDescent="0.25">
      <c r="A543">
        <v>1019</v>
      </c>
      <c r="B543">
        <v>5</v>
      </c>
      <c r="C543" t="s">
        <v>35</v>
      </c>
      <c r="D543">
        <v>5.18</v>
      </c>
      <c r="E543">
        <v>0.13200000000000001</v>
      </c>
      <c r="F543">
        <v>393</v>
      </c>
      <c r="G543">
        <v>150</v>
      </c>
      <c r="H543" t="s">
        <v>22</v>
      </c>
      <c r="I543" t="s">
        <v>22</v>
      </c>
      <c r="J543" t="s">
        <v>22</v>
      </c>
      <c r="K543" t="s">
        <v>22</v>
      </c>
      <c r="L543">
        <v>89.23</v>
      </c>
      <c r="M543">
        <v>8.1999999999999993</v>
      </c>
      <c r="N543" t="s">
        <v>32</v>
      </c>
      <c r="O543" t="s">
        <v>22</v>
      </c>
      <c r="P543">
        <v>30</v>
      </c>
      <c r="Q543">
        <v>30</v>
      </c>
      <c r="R543">
        <v>90</v>
      </c>
      <c r="S543">
        <v>0.17219999999999999</v>
      </c>
    </row>
    <row r="544" spans="1:19" x14ac:dyDescent="0.25">
      <c r="A544">
        <v>1019</v>
      </c>
      <c r="B544">
        <v>5</v>
      </c>
      <c r="C544" t="s">
        <v>35</v>
      </c>
      <c r="D544">
        <v>5.18</v>
      </c>
      <c r="E544">
        <v>0.13200000000000001</v>
      </c>
      <c r="F544">
        <v>393</v>
      </c>
      <c r="G544">
        <v>150</v>
      </c>
      <c r="H544" t="s">
        <v>22</v>
      </c>
      <c r="I544" t="s">
        <v>22</v>
      </c>
      <c r="J544" t="s">
        <v>22</v>
      </c>
      <c r="K544" t="s">
        <v>22</v>
      </c>
      <c r="L544">
        <v>89.23</v>
      </c>
      <c r="M544">
        <v>8.1999999999999993</v>
      </c>
      <c r="N544" t="s">
        <v>32</v>
      </c>
      <c r="O544" t="s">
        <v>22</v>
      </c>
      <c r="P544">
        <v>30</v>
      </c>
      <c r="Q544">
        <v>30</v>
      </c>
      <c r="R544">
        <v>100</v>
      </c>
      <c r="S544">
        <v>0.17249999999999999</v>
      </c>
    </row>
    <row r="545" spans="1:19" x14ac:dyDescent="0.25">
      <c r="A545">
        <v>1019</v>
      </c>
      <c r="B545">
        <v>5</v>
      </c>
      <c r="C545" t="s">
        <v>35</v>
      </c>
      <c r="D545">
        <v>5.18</v>
      </c>
      <c r="E545">
        <v>0.13200000000000001</v>
      </c>
      <c r="F545">
        <v>393</v>
      </c>
      <c r="G545">
        <v>150</v>
      </c>
      <c r="H545" t="s">
        <v>22</v>
      </c>
      <c r="I545" t="s">
        <v>22</v>
      </c>
      <c r="J545" t="s">
        <v>22</v>
      </c>
      <c r="K545" t="s">
        <v>22</v>
      </c>
      <c r="L545">
        <v>89.23</v>
      </c>
      <c r="M545">
        <v>8.1999999999999993</v>
      </c>
      <c r="N545" t="s">
        <v>32</v>
      </c>
      <c r="O545" t="s">
        <v>22</v>
      </c>
      <c r="P545">
        <v>30</v>
      </c>
      <c r="Q545">
        <v>30</v>
      </c>
      <c r="R545">
        <v>105</v>
      </c>
      <c r="S545">
        <v>0.17280000000000001</v>
      </c>
    </row>
    <row r="546" spans="1:19" x14ac:dyDescent="0.25">
      <c r="A546">
        <v>1019</v>
      </c>
      <c r="B546">
        <v>6</v>
      </c>
      <c r="C546" t="s">
        <v>28</v>
      </c>
      <c r="D546">
        <v>4.57</v>
      </c>
      <c r="E546">
        <v>1.1000000000000001</v>
      </c>
      <c r="F546">
        <v>340</v>
      </c>
      <c r="G546">
        <v>101</v>
      </c>
      <c r="H546" t="s">
        <v>22</v>
      </c>
      <c r="I546" t="s">
        <v>22</v>
      </c>
      <c r="J546" t="s">
        <v>22</v>
      </c>
      <c r="K546" t="s">
        <v>22</v>
      </c>
      <c r="L546">
        <v>89.23</v>
      </c>
      <c r="M546">
        <v>8.1999999999999993</v>
      </c>
      <c r="N546" t="s">
        <v>29</v>
      </c>
      <c r="O546" t="s">
        <v>22</v>
      </c>
      <c r="P546">
        <v>30</v>
      </c>
      <c r="Q546">
        <v>30</v>
      </c>
      <c r="R546">
        <v>10</v>
      </c>
      <c r="S546">
        <v>3.2500000000000001E-2</v>
      </c>
    </row>
    <row r="547" spans="1:19" x14ac:dyDescent="0.25">
      <c r="A547">
        <v>1019</v>
      </c>
      <c r="B547">
        <v>6</v>
      </c>
      <c r="C547" t="s">
        <v>28</v>
      </c>
      <c r="D547">
        <v>4.57</v>
      </c>
      <c r="E547">
        <v>1.1000000000000001</v>
      </c>
      <c r="F547">
        <v>340</v>
      </c>
      <c r="G547">
        <v>101</v>
      </c>
      <c r="H547" t="s">
        <v>22</v>
      </c>
      <c r="I547" t="s">
        <v>22</v>
      </c>
      <c r="J547" t="s">
        <v>22</v>
      </c>
      <c r="K547" t="s">
        <v>22</v>
      </c>
      <c r="L547">
        <v>89.23</v>
      </c>
      <c r="M547">
        <v>8.1999999999999993</v>
      </c>
      <c r="N547" t="s">
        <v>29</v>
      </c>
      <c r="O547" t="s">
        <v>22</v>
      </c>
      <c r="P547">
        <v>30</v>
      </c>
      <c r="Q547">
        <v>30</v>
      </c>
      <c r="R547">
        <v>20</v>
      </c>
      <c r="S547">
        <v>0.1</v>
      </c>
    </row>
    <row r="548" spans="1:19" x14ac:dyDescent="0.25">
      <c r="A548">
        <v>1019</v>
      </c>
      <c r="B548">
        <v>6</v>
      </c>
      <c r="C548" t="s">
        <v>28</v>
      </c>
      <c r="D548">
        <v>4.57</v>
      </c>
      <c r="E548">
        <v>1.1000000000000001</v>
      </c>
      <c r="F548">
        <v>340</v>
      </c>
      <c r="G548">
        <v>101</v>
      </c>
      <c r="H548" t="s">
        <v>22</v>
      </c>
      <c r="I548" t="s">
        <v>22</v>
      </c>
      <c r="J548" t="s">
        <v>22</v>
      </c>
      <c r="K548" t="s">
        <v>22</v>
      </c>
      <c r="L548">
        <v>89.23</v>
      </c>
      <c r="M548">
        <v>8.1999999999999993</v>
      </c>
      <c r="N548" t="s">
        <v>29</v>
      </c>
      <c r="O548" t="s">
        <v>22</v>
      </c>
      <c r="P548">
        <v>30</v>
      </c>
      <c r="Q548">
        <v>30</v>
      </c>
      <c r="R548">
        <v>30</v>
      </c>
      <c r="S548">
        <v>0.16250000000000001</v>
      </c>
    </row>
    <row r="549" spans="1:19" x14ac:dyDescent="0.25">
      <c r="A549">
        <v>1019</v>
      </c>
      <c r="B549">
        <v>6</v>
      </c>
      <c r="C549" t="s">
        <v>28</v>
      </c>
      <c r="D549">
        <v>4.57</v>
      </c>
      <c r="E549">
        <v>1.1000000000000001</v>
      </c>
      <c r="F549">
        <v>340</v>
      </c>
      <c r="G549">
        <v>101</v>
      </c>
      <c r="H549" t="s">
        <v>22</v>
      </c>
      <c r="I549" t="s">
        <v>22</v>
      </c>
      <c r="J549" t="s">
        <v>22</v>
      </c>
      <c r="K549" t="s">
        <v>22</v>
      </c>
      <c r="L549">
        <v>89.23</v>
      </c>
      <c r="M549">
        <v>8.1999999999999993</v>
      </c>
      <c r="N549" t="s">
        <v>29</v>
      </c>
      <c r="O549" t="s">
        <v>22</v>
      </c>
      <c r="P549">
        <v>30</v>
      </c>
      <c r="Q549">
        <v>30</v>
      </c>
      <c r="R549">
        <v>40</v>
      </c>
      <c r="S549">
        <v>0.2</v>
      </c>
    </row>
    <row r="550" spans="1:19" x14ac:dyDescent="0.25">
      <c r="A550">
        <v>1019</v>
      </c>
      <c r="B550">
        <v>6</v>
      </c>
      <c r="C550" t="s">
        <v>28</v>
      </c>
      <c r="D550">
        <v>4.57</v>
      </c>
      <c r="E550">
        <v>1.1000000000000001</v>
      </c>
      <c r="F550">
        <v>340</v>
      </c>
      <c r="G550">
        <v>101</v>
      </c>
      <c r="H550" t="s">
        <v>22</v>
      </c>
      <c r="I550" t="s">
        <v>22</v>
      </c>
      <c r="J550" t="s">
        <v>22</v>
      </c>
      <c r="K550" t="s">
        <v>22</v>
      </c>
      <c r="L550">
        <v>89.23</v>
      </c>
      <c r="M550">
        <v>8.1999999999999993</v>
      </c>
      <c r="N550" t="s">
        <v>29</v>
      </c>
      <c r="O550" t="s">
        <v>22</v>
      </c>
      <c r="P550">
        <v>30</v>
      </c>
      <c r="Q550">
        <v>30</v>
      </c>
      <c r="R550">
        <v>50</v>
      </c>
      <c r="S550">
        <v>0.22500000000000001</v>
      </c>
    </row>
    <row r="551" spans="1:19" x14ac:dyDescent="0.25">
      <c r="A551">
        <v>1019</v>
      </c>
      <c r="B551">
        <v>6</v>
      </c>
      <c r="C551" t="s">
        <v>28</v>
      </c>
      <c r="D551">
        <v>4.57</v>
      </c>
      <c r="E551">
        <v>1.1000000000000001</v>
      </c>
      <c r="F551">
        <v>340</v>
      </c>
      <c r="G551">
        <v>101</v>
      </c>
      <c r="H551" t="s">
        <v>22</v>
      </c>
      <c r="I551" t="s">
        <v>22</v>
      </c>
      <c r="J551" t="s">
        <v>22</v>
      </c>
      <c r="K551" t="s">
        <v>22</v>
      </c>
      <c r="L551">
        <v>89.23</v>
      </c>
      <c r="M551">
        <v>8.1999999999999993</v>
      </c>
      <c r="N551" t="s">
        <v>29</v>
      </c>
      <c r="O551" t="s">
        <v>22</v>
      </c>
      <c r="P551">
        <v>30</v>
      </c>
      <c r="Q551">
        <v>30</v>
      </c>
      <c r="R551">
        <v>60</v>
      </c>
      <c r="S551">
        <v>0.2994</v>
      </c>
    </row>
    <row r="552" spans="1:19" x14ac:dyDescent="0.25">
      <c r="A552">
        <v>1019</v>
      </c>
      <c r="B552">
        <v>6</v>
      </c>
      <c r="C552" t="s">
        <v>28</v>
      </c>
      <c r="D552">
        <v>4.57</v>
      </c>
      <c r="E552">
        <v>1.1000000000000001</v>
      </c>
      <c r="F552">
        <v>340</v>
      </c>
      <c r="G552">
        <v>101</v>
      </c>
      <c r="H552" t="s">
        <v>22</v>
      </c>
      <c r="I552" t="s">
        <v>22</v>
      </c>
      <c r="J552" t="s">
        <v>22</v>
      </c>
      <c r="K552" t="s">
        <v>22</v>
      </c>
      <c r="L552">
        <v>89.23</v>
      </c>
      <c r="M552">
        <v>8.1999999999999993</v>
      </c>
      <c r="N552" t="s">
        <v>29</v>
      </c>
      <c r="O552" t="s">
        <v>22</v>
      </c>
      <c r="P552">
        <v>30</v>
      </c>
      <c r="Q552">
        <v>30</v>
      </c>
      <c r="R552">
        <v>70</v>
      </c>
      <c r="S552">
        <v>0.27500000000000002</v>
      </c>
    </row>
    <row r="553" spans="1:19" x14ac:dyDescent="0.25">
      <c r="A553">
        <v>1019</v>
      </c>
      <c r="B553">
        <v>6</v>
      </c>
      <c r="C553" t="s">
        <v>28</v>
      </c>
      <c r="D553">
        <v>4.57</v>
      </c>
      <c r="E553">
        <v>1.1000000000000001</v>
      </c>
      <c r="F553">
        <v>340</v>
      </c>
      <c r="G553">
        <v>101</v>
      </c>
      <c r="H553" t="s">
        <v>22</v>
      </c>
      <c r="I553" t="s">
        <v>22</v>
      </c>
      <c r="J553" t="s">
        <v>22</v>
      </c>
      <c r="K553" t="s">
        <v>22</v>
      </c>
      <c r="L553">
        <v>89.23</v>
      </c>
      <c r="M553">
        <v>8.1999999999999993</v>
      </c>
      <c r="N553" t="s">
        <v>29</v>
      </c>
      <c r="O553" t="s">
        <v>22</v>
      </c>
      <c r="P553">
        <v>30</v>
      </c>
      <c r="Q553">
        <v>30</v>
      </c>
      <c r="R553">
        <v>80</v>
      </c>
      <c r="S553">
        <v>0.27860000000000001</v>
      </c>
    </row>
    <row r="554" spans="1:19" x14ac:dyDescent="0.25">
      <c r="A554">
        <v>1019</v>
      </c>
      <c r="B554">
        <v>6</v>
      </c>
      <c r="C554" t="s">
        <v>28</v>
      </c>
      <c r="D554">
        <v>4.57</v>
      </c>
      <c r="E554">
        <v>1.1000000000000001</v>
      </c>
      <c r="F554">
        <v>340</v>
      </c>
      <c r="G554">
        <v>101</v>
      </c>
      <c r="H554" t="s">
        <v>22</v>
      </c>
      <c r="I554" t="s">
        <v>22</v>
      </c>
      <c r="J554" t="s">
        <v>22</v>
      </c>
      <c r="K554" t="s">
        <v>22</v>
      </c>
      <c r="L554">
        <v>89.23</v>
      </c>
      <c r="M554">
        <v>8.1999999999999993</v>
      </c>
      <c r="N554" t="s">
        <v>29</v>
      </c>
      <c r="O554" t="s">
        <v>22</v>
      </c>
      <c r="P554">
        <v>30</v>
      </c>
      <c r="Q554">
        <v>30</v>
      </c>
      <c r="R554">
        <v>90</v>
      </c>
      <c r="S554">
        <v>0.28110000000000002</v>
      </c>
    </row>
    <row r="555" spans="1:19" x14ac:dyDescent="0.25">
      <c r="A555">
        <v>1019</v>
      </c>
      <c r="B555">
        <v>6</v>
      </c>
      <c r="C555" t="s">
        <v>28</v>
      </c>
      <c r="D555">
        <v>4.57</v>
      </c>
      <c r="E555">
        <v>1.1000000000000001</v>
      </c>
      <c r="F555">
        <v>340</v>
      </c>
      <c r="G555">
        <v>101</v>
      </c>
      <c r="H555" t="s">
        <v>22</v>
      </c>
      <c r="I555" t="s">
        <v>22</v>
      </c>
      <c r="J555" t="s">
        <v>22</v>
      </c>
      <c r="K555" t="s">
        <v>22</v>
      </c>
      <c r="L555">
        <v>89.23</v>
      </c>
      <c r="M555">
        <v>8.1999999999999993</v>
      </c>
      <c r="N555" t="s">
        <v>29</v>
      </c>
      <c r="O555" t="s">
        <v>22</v>
      </c>
      <c r="P555">
        <v>30</v>
      </c>
      <c r="Q555">
        <v>30</v>
      </c>
      <c r="R555">
        <v>100</v>
      </c>
      <c r="S555">
        <v>0.2762</v>
      </c>
    </row>
    <row r="556" spans="1:19" x14ac:dyDescent="0.25">
      <c r="A556">
        <v>1019</v>
      </c>
      <c r="B556">
        <v>6</v>
      </c>
      <c r="C556" t="s">
        <v>28</v>
      </c>
      <c r="D556">
        <v>4.57</v>
      </c>
      <c r="E556">
        <v>1.1000000000000001</v>
      </c>
      <c r="F556">
        <v>340</v>
      </c>
      <c r="G556">
        <v>101</v>
      </c>
      <c r="H556" t="s">
        <v>22</v>
      </c>
      <c r="I556" t="s">
        <v>22</v>
      </c>
      <c r="J556" t="s">
        <v>22</v>
      </c>
      <c r="K556" t="s">
        <v>22</v>
      </c>
      <c r="L556">
        <v>89.23</v>
      </c>
      <c r="M556">
        <v>8.1999999999999993</v>
      </c>
      <c r="N556" t="s">
        <v>29</v>
      </c>
      <c r="O556" t="s">
        <v>22</v>
      </c>
      <c r="P556">
        <v>30</v>
      </c>
      <c r="Q556">
        <v>30</v>
      </c>
      <c r="R556">
        <v>105</v>
      </c>
      <c r="S556">
        <v>0.26690000000000003</v>
      </c>
    </row>
    <row r="557" spans="1:19" x14ac:dyDescent="0.25">
      <c r="A557">
        <v>1019</v>
      </c>
      <c r="B557">
        <v>6</v>
      </c>
      <c r="C557" t="s">
        <v>35</v>
      </c>
      <c r="D557">
        <v>5.18</v>
      </c>
      <c r="E557">
        <v>0.13200000000000001</v>
      </c>
      <c r="F557">
        <v>393</v>
      </c>
      <c r="G557">
        <v>150</v>
      </c>
      <c r="H557" t="s">
        <v>22</v>
      </c>
      <c r="I557" t="s">
        <v>22</v>
      </c>
      <c r="J557" t="s">
        <v>22</v>
      </c>
      <c r="K557" t="s">
        <v>22</v>
      </c>
      <c r="L557">
        <v>89.23</v>
      </c>
      <c r="M557">
        <v>8.1999999999999993</v>
      </c>
      <c r="N557" t="s">
        <v>32</v>
      </c>
      <c r="O557" t="s">
        <v>22</v>
      </c>
      <c r="P557">
        <v>30</v>
      </c>
      <c r="Q557">
        <v>30</v>
      </c>
      <c r="R557">
        <v>10</v>
      </c>
      <c r="S557">
        <v>2.5000000000000001E-2</v>
      </c>
    </row>
    <row r="558" spans="1:19" x14ac:dyDescent="0.25">
      <c r="A558">
        <v>1019</v>
      </c>
      <c r="B558">
        <v>6</v>
      </c>
      <c r="C558" t="s">
        <v>35</v>
      </c>
      <c r="D558">
        <v>5.18</v>
      </c>
      <c r="E558">
        <v>0.13200000000000001</v>
      </c>
      <c r="F558">
        <v>393</v>
      </c>
      <c r="G558">
        <v>150</v>
      </c>
      <c r="H558" t="s">
        <v>22</v>
      </c>
      <c r="I558" t="s">
        <v>22</v>
      </c>
      <c r="J558" t="s">
        <v>22</v>
      </c>
      <c r="K558" t="s">
        <v>22</v>
      </c>
      <c r="L558">
        <v>89.23</v>
      </c>
      <c r="M558">
        <v>8.1999999999999993</v>
      </c>
      <c r="N558" t="s">
        <v>32</v>
      </c>
      <c r="O558" t="s">
        <v>22</v>
      </c>
      <c r="P558">
        <v>30</v>
      </c>
      <c r="Q558">
        <v>30</v>
      </c>
      <c r="R558">
        <v>20</v>
      </c>
      <c r="S558">
        <v>7.4999999999999997E-2</v>
      </c>
    </row>
    <row r="559" spans="1:19" x14ac:dyDescent="0.25">
      <c r="A559">
        <v>1019</v>
      </c>
      <c r="B559">
        <v>6</v>
      </c>
      <c r="C559" t="s">
        <v>35</v>
      </c>
      <c r="D559">
        <v>5.18</v>
      </c>
      <c r="E559">
        <v>0.13200000000000001</v>
      </c>
      <c r="F559">
        <v>393</v>
      </c>
      <c r="G559">
        <v>150</v>
      </c>
      <c r="H559" t="s">
        <v>22</v>
      </c>
      <c r="I559" t="s">
        <v>22</v>
      </c>
      <c r="J559" t="s">
        <v>22</v>
      </c>
      <c r="K559" t="s">
        <v>22</v>
      </c>
      <c r="L559">
        <v>89.23</v>
      </c>
      <c r="M559">
        <v>8.1999999999999993</v>
      </c>
      <c r="N559" t="s">
        <v>32</v>
      </c>
      <c r="O559" t="s">
        <v>22</v>
      </c>
      <c r="P559">
        <v>30</v>
      </c>
      <c r="Q559">
        <v>30</v>
      </c>
      <c r="R559">
        <v>30</v>
      </c>
      <c r="S559">
        <v>7.9200000000000007E-2</v>
      </c>
    </row>
    <row r="560" spans="1:19" x14ac:dyDescent="0.25">
      <c r="A560">
        <v>1019</v>
      </c>
      <c r="B560">
        <v>6</v>
      </c>
      <c r="C560" t="s">
        <v>35</v>
      </c>
      <c r="D560">
        <v>5.18</v>
      </c>
      <c r="E560">
        <v>0.13200000000000001</v>
      </c>
      <c r="F560">
        <v>393</v>
      </c>
      <c r="G560">
        <v>150</v>
      </c>
      <c r="H560" t="s">
        <v>22</v>
      </c>
      <c r="I560" t="s">
        <v>22</v>
      </c>
      <c r="J560" t="s">
        <v>22</v>
      </c>
      <c r="K560" t="s">
        <v>22</v>
      </c>
      <c r="L560">
        <v>89.23</v>
      </c>
      <c r="M560">
        <v>8.1999999999999993</v>
      </c>
      <c r="N560" t="s">
        <v>32</v>
      </c>
      <c r="O560" t="s">
        <v>22</v>
      </c>
      <c r="P560">
        <v>30</v>
      </c>
      <c r="Q560">
        <v>30</v>
      </c>
      <c r="R560">
        <v>40</v>
      </c>
      <c r="S560">
        <v>0.1</v>
      </c>
    </row>
    <row r="561" spans="1:19" x14ac:dyDescent="0.25">
      <c r="A561">
        <v>1019</v>
      </c>
      <c r="B561">
        <v>6</v>
      </c>
      <c r="C561" t="s">
        <v>35</v>
      </c>
      <c r="D561">
        <v>5.18</v>
      </c>
      <c r="E561">
        <v>0.13200000000000001</v>
      </c>
      <c r="F561">
        <v>393</v>
      </c>
      <c r="G561">
        <v>150</v>
      </c>
      <c r="H561" t="s">
        <v>22</v>
      </c>
      <c r="I561" t="s">
        <v>22</v>
      </c>
      <c r="J561" t="s">
        <v>22</v>
      </c>
      <c r="K561" t="s">
        <v>22</v>
      </c>
      <c r="L561">
        <v>89.23</v>
      </c>
      <c r="M561">
        <v>8.1999999999999993</v>
      </c>
      <c r="N561" t="s">
        <v>32</v>
      </c>
      <c r="O561" t="s">
        <v>22</v>
      </c>
      <c r="P561">
        <v>30</v>
      </c>
      <c r="Q561">
        <v>30</v>
      </c>
      <c r="R561">
        <v>50</v>
      </c>
      <c r="S561">
        <v>0.13250000000000001</v>
      </c>
    </row>
    <row r="562" spans="1:19" x14ac:dyDescent="0.25">
      <c r="A562">
        <v>1019</v>
      </c>
      <c r="B562">
        <v>6</v>
      </c>
      <c r="C562" t="s">
        <v>35</v>
      </c>
      <c r="D562">
        <v>5.18</v>
      </c>
      <c r="E562">
        <v>0.13200000000000001</v>
      </c>
      <c r="F562">
        <v>393</v>
      </c>
      <c r="G562">
        <v>150</v>
      </c>
      <c r="H562" t="s">
        <v>22</v>
      </c>
      <c r="I562" t="s">
        <v>22</v>
      </c>
      <c r="J562" t="s">
        <v>22</v>
      </c>
      <c r="K562" t="s">
        <v>22</v>
      </c>
      <c r="L562">
        <v>89.23</v>
      </c>
      <c r="M562">
        <v>8.1999999999999993</v>
      </c>
      <c r="N562" t="s">
        <v>32</v>
      </c>
      <c r="O562" t="s">
        <v>22</v>
      </c>
      <c r="P562">
        <v>30</v>
      </c>
      <c r="Q562">
        <v>30</v>
      </c>
      <c r="R562">
        <v>60</v>
      </c>
      <c r="S562">
        <v>0.17499999999999999</v>
      </c>
    </row>
    <row r="563" spans="1:19" x14ac:dyDescent="0.25">
      <c r="A563">
        <v>1019</v>
      </c>
      <c r="B563">
        <v>6</v>
      </c>
      <c r="C563" t="s">
        <v>35</v>
      </c>
      <c r="D563">
        <v>5.18</v>
      </c>
      <c r="E563">
        <v>0.13200000000000001</v>
      </c>
      <c r="F563">
        <v>393</v>
      </c>
      <c r="G563">
        <v>150</v>
      </c>
      <c r="H563" t="s">
        <v>22</v>
      </c>
      <c r="I563" t="s">
        <v>22</v>
      </c>
      <c r="J563" t="s">
        <v>22</v>
      </c>
      <c r="K563" t="s">
        <v>22</v>
      </c>
      <c r="L563">
        <v>89.23</v>
      </c>
      <c r="M563">
        <v>8.1999999999999993</v>
      </c>
      <c r="N563" t="s">
        <v>32</v>
      </c>
      <c r="O563" t="s">
        <v>22</v>
      </c>
      <c r="P563">
        <v>30</v>
      </c>
      <c r="Q563">
        <v>30</v>
      </c>
      <c r="R563">
        <v>70</v>
      </c>
      <c r="S563">
        <v>0.17660000000000001</v>
      </c>
    </row>
    <row r="564" spans="1:19" x14ac:dyDescent="0.25">
      <c r="A564">
        <v>1019</v>
      </c>
      <c r="B564">
        <v>6</v>
      </c>
      <c r="C564" t="s">
        <v>35</v>
      </c>
      <c r="D564">
        <v>5.18</v>
      </c>
      <c r="E564">
        <v>0.13200000000000001</v>
      </c>
      <c r="F564">
        <v>393</v>
      </c>
      <c r="G564">
        <v>150</v>
      </c>
      <c r="H564" t="s">
        <v>22</v>
      </c>
      <c r="I564" t="s">
        <v>22</v>
      </c>
      <c r="J564" t="s">
        <v>22</v>
      </c>
      <c r="K564" t="s">
        <v>22</v>
      </c>
      <c r="L564">
        <v>89.23</v>
      </c>
      <c r="M564">
        <v>8.1999999999999993</v>
      </c>
      <c r="N564" t="s">
        <v>32</v>
      </c>
      <c r="O564" t="s">
        <v>22</v>
      </c>
      <c r="P564">
        <v>30</v>
      </c>
      <c r="Q564">
        <v>30</v>
      </c>
      <c r="R564">
        <v>80</v>
      </c>
      <c r="S564">
        <v>0.17829999999999999</v>
      </c>
    </row>
    <row r="565" spans="1:19" x14ac:dyDescent="0.25">
      <c r="A565">
        <v>1019</v>
      </c>
      <c r="B565">
        <v>6</v>
      </c>
      <c r="C565" t="s">
        <v>35</v>
      </c>
      <c r="D565">
        <v>5.18</v>
      </c>
      <c r="E565">
        <v>0.13200000000000001</v>
      </c>
      <c r="F565">
        <v>393</v>
      </c>
      <c r="G565">
        <v>150</v>
      </c>
      <c r="H565" t="s">
        <v>22</v>
      </c>
      <c r="I565" t="s">
        <v>22</v>
      </c>
      <c r="J565" t="s">
        <v>22</v>
      </c>
      <c r="K565" t="s">
        <v>22</v>
      </c>
      <c r="L565">
        <v>89.23</v>
      </c>
      <c r="M565">
        <v>8.1999999999999993</v>
      </c>
      <c r="N565" t="s">
        <v>32</v>
      </c>
      <c r="O565" t="s">
        <v>22</v>
      </c>
      <c r="P565">
        <v>30</v>
      </c>
      <c r="Q565">
        <v>30</v>
      </c>
      <c r="R565">
        <v>90</v>
      </c>
      <c r="S565">
        <v>0.17499999999999999</v>
      </c>
    </row>
    <row r="566" spans="1:19" x14ac:dyDescent="0.25">
      <c r="A566">
        <v>1019</v>
      </c>
      <c r="B566">
        <v>6</v>
      </c>
      <c r="C566" t="s">
        <v>35</v>
      </c>
      <c r="D566">
        <v>5.18</v>
      </c>
      <c r="E566">
        <v>0.13200000000000001</v>
      </c>
      <c r="F566">
        <v>393</v>
      </c>
      <c r="G566">
        <v>150</v>
      </c>
      <c r="H566" t="s">
        <v>22</v>
      </c>
      <c r="I566" t="s">
        <v>22</v>
      </c>
      <c r="J566" t="s">
        <v>22</v>
      </c>
      <c r="K566" t="s">
        <v>22</v>
      </c>
      <c r="L566">
        <v>89.23</v>
      </c>
      <c r="M566">
        <v>8.1999999999999993</v>
      </c>
      <c r="N566" t="s">
        <v>32</v>
      </c>
      <c r="O566" t="s">
        <v>22</v>
      </c>
      <c r="P566">
        <v>30</v>
      </c>
      <c r="Q566">
        <v>30</v>
      </c>
      <c r="R566">
        <v>100</v>
      </c>
      <c r="S566">
        <v>0.18129999999999999</v>
      </c>
    </row>
    <row r="567" spans="1:19" x14ac:dyDescent="0.25">
      <c r="A567">
        <v>1019</v>
      </c>
      <c r="B567">
        <v>6</v>
      </c>
      <c r="C567" t="s">
        <v>35</v>
      </c>
      <c r="D567">
        <v>5.18</v>
      </c>
      <c r="E567">
        <v>0.13200000000000001</v>
      </c>
      <c r="F567">
        <v>393</v>
      </c>
      <c r="G567">
        <v>150</v>
      </c>
      <c r="H567" t="s">
        <v>22</v>
      </c>
      <c r="I567" t="s">
        <v>22</v>
      </c>
      <c r="J567" t="s">
        <v>22</v>
      </c>
      <c r="K567" t="s">
        <v>22</v>
      </c>
      <c r="L567">
        <v>89.23</v>
      </c>
      <c r="M567">
        <v>8.1999999999999993</v>
      </c>
      <c r="N567" t="s">
        <v>32</v>
      </c>
      <c r="O567" t="s">
        <v>22</v>
      </c>
      <c r="P567">
        <v>30</v>
      </c>
      <c r="Q567">
        <v>30</v>
      </c>
      <c r="R567">
        <v>105</v>
      </c>
      <c r="S567">
        <v>0.1825</v>
      </c>
    </row>
    <row r="568" spans="1:19" x14ac:dyDescent="0.25">
      <c r="A568">
        <v>1019</v>
      </c>
      <c r="B568">
        <v>7</v>
      </c>
      <c r="C568" t="s">
        <v>28</v>
      </c>
      <c r="D568">
        <v>4.57</v>
      </c>
      <c r="E568">
        <v>1.1000000000000001</v>
      </c>
      <c r="F568">
        <v>340</v>
      </c>
      <c r="G568">
        <v>101</v>
      </c>
      <c r="H568" t="s">
        <v>22</v>
      </c>
      <c r="I568" t="s">
        <v>22</v>
      </c>
      <c r="J568" t="s">
        <v>22</v>
      </c>
      <c r="K568" t="s">
        <v>22</v>
      </c>
      <c r="L568">
        <v>89.23</v>
      </c>
      <c r="M568">
        <v>8.1999999999999993</v>
      </c>
      <c r="N568" t="s">
        <v>29</v>
      </c>
      <c r="O568" t="s">
        <v>22</v>
      </c>
      <c r="P568">
        <v>30</v>
      </c>
      <c r="Q568">
        <v>30</v>
      </c>
      <c r="R568">
        <v>10</v>
      </c>
      <c r="S568">
        <v>0.05</v>
      </c>
    </row>
    <row r="569" spans="1:19" x14ac:dyDescent="0.25">
      <c r="A569">
        <v>1019</v>
      </c>
      <c r="B569">
        <v>7</v>
      </c>
      <c r="C569" t="s">
        <v>28</v>
      </c>
      <c r="D569">
        <v>4.57</v>
      </c>
      <c r="E569">
        <v>1.1000000000000001</v>
      </c>
      <c r="F569">
        <v>340</v>
      </c>
      <c r="G569">
        <v>101</v>
      </c>
      <c r="H569" t="s">
        <v>22</v>
      </c>
      <c r="I569" t="s">
        <v>22</v>
      </c>
      <c r="J569" t="s">
        <v>22</v>
      </c>
      <c r="K569" t="s">
        <v>22</v>
      </c>
      <c r="L569">
        <v>89.23</v>
      </c>
      <c r="M569">
        <v>8.1999999999999993</v>
      </c>
      <c r="N569" t="s">
        <v>29</v>
      </c>
      <c r="O569" t="s">
        <v>22</v>
      </c>
      <c r="P569">
        <v>30</v>
      </c>
      <c r="Q569">
        <v>30</v>
      </c>
      <c r="R569">
        <v>20</v>
      </c>
      <c r="S569">
        <v>0.125</v>
      </c>
    </row>
    <row r="570" spans="1:19" x14ac:dyDescent="0.25">
      <c r="A570">
        <v>1019</v>
      </c>
      <c r="B570">
        <v>7</v>
      </c>
      <c r="C570" t="s">
        <v>28</v>
      </c>
      <c r="D570">
        <v>4.57</v>
      </c>
      <c r="E570">
        <v>1.1000000000000001</v>
      </c>
      <c r="F570">
        <v>340</v>
      </c>
      <c r="G570">
        <v>101</v>
      </c>
      <c r="H570" t="s">
        <v>22</v>
      </c>
      <c r="I570" t="s">
        <v>22</v>
      </c>
      <c r="J570" t="s">
        <v>22</v>
      </c>
      <c r="K570" t="s">
        <v>22</v>
      </c>
      <c r="L570">
        <v>89.23</v>
      </c>
      <c r="M570">
        <v>8.1999999999999993</v>
      </c>
      <c r="N570" t="s">
        <v>29</v>
      </c>
      <c r="O570" t="s">
        <v>22</v>
      </c>
      <c r="P570">
        <v>30</v>
      </c>
      <c r="Q570">
        <v>30</v>
      </c>
      <c r="R570">
        <v>30</v>
      </c>
      <c r="S570">
        <v>0.16250000000000001</v>
      </c>
    </row>
    <row r="571" spans="1:19" x14ac:dyDescent="0.25">
      <c r="A571">
        <v>1019</v>
      </c>
      <c r="B571">
        <v>7</v>
      </c>
      <c r="C571" t="s">
        <v>28</v>
      </c>
      <c r="D571">
        <v>4.57</v>
      </c>
      <c r="E571">
        <v>1.1000000000000001</v>
      </c>
      <c r="F571">
        <v>340</v>
      </c>
      <c r="G571">
        <v>101</v>
      </c>
      <c r="H571" t="s">
        <v>22</v>
      </c>
      <c r="I571" t="s">
        <v>22</v>
      </c>
      <c r="J571" t="s">
        <v>22</v>
      </c>
      <c r="K571" t="s">
        <v>22</v>
      </c>
      <c r="L571">
        <v>89.23</v>
      </c>
      <c r="M571">
        <v>8.1999999999999993</v>
      </c>
      <c r="N571" t="s">
        <v>29</v>
      </c>
      <c r="O571" t="s">
        <v>22</v>
      </c>
      <c r="P571">
        <v>30</v>
      </c>
      <c r="Q571">
        <v>30</v>
      </c>
      <c r="R571">
        <v>40</v>
      </c>
      <c r="S571">
        <v>0.22500000000000001</v>
      </c>
    </row>
    <row r="572" spans="1:19" x14ac:dyDescent="0.25">
      <c r="A572">
        <v>1019</v>
      </c>
      <c r="B572">
        <v>7</v>
      </c>
      <c r="C572" t="s">
        <v>28</v>
      </c>
      <c r="D572">
        <v>4.57</v>
      </c>
      <c r="E572">
        <v>1.1000000000000001</v>
      </c>
      <c r="F572">
        <v>340</v>
      </c>
      <c r="G572">
        <v>101</v>
      </c>
      <c r="H572" t="s">
        <v>22</v>
      </c>
      <c r="I572" t="s">
        <v>22</v>
      </c>
      <c r="J572" t="s">
        <v>22</v>
      </c>
      <c r="K572" t="s">
        <v>22</v>
      </c>
      <c r="L572">
        <v>89.23</v>
      </c>
      <c r="M572">
        <v>8.1999999999999993</v>
      </c>
      <c r="N572" t="s">
        <v>29</v>
      </c>
      <c r="O572" t="s">
        <v>22</v>
      </c>
      <c r="P572">
        <v>30</v>
      </c>
      <c r="Q572">
        <v>30</v>
      </c>
      <c r="R572">
        <v>50</v>
      </c>
      <c r="S572">
        <v>0.27500000000000002</v>
      </c>
    </row>
    <row r="573" spans="1:19" x14ac:dyDescent="0.25">
      <c r="A573">
        <v>1019</v>
      </c>
      <c r="B573">
        <v>7</v>
      </c>
      <c r="C573" t="s">
        <v>28</v>
      </c>
      <c r="D573">
        <v>4.57</v>
      </c>
      <c r="E573">
        <v>1.1000000000000001</v>
      </c>
      <c r="F573">
        <v>340</v>
      </c>
      <c r="G573">
        <v>101</v>
      </c>
      <c r="H573" t="s">
        <v>22</v>
      </c>
      <c r="I573" t="s">
        <v>22</v>
      </c>
      <c r="J573" t="s">
        <v>22</v>
      </c>
      <c r="K573" t="s">
        <v>22</v>
      </c>
      <c r="L573">
        <v>89.23</v>
      </c>
      <c r="M573">
        <v>8.1999999999999993</v>
      </c>
      <c r="N573" t="s">
        <v>29</v>
      </c>
      <c r="O573" t="s">
        <v>22</v>
      </c>
      <c r="P573">
        <v>30</v>
      </c>
      <c r="Q573">
        <v>30</v>
      </c>
      <c r="R573">
        <v>60</v>
      </c>
      <c r="S573">
        <v>0.32500000000000001</v>
      </c>
    </row>
    <row r="574" spans="1:19" x14ac:dyDescent="0.25">
      <c r="A574">
        <v>1019</v>
      </c>
      <c r="B574">
        <v>7</v>
      </c>
      <c r="C574" t="s">
        <v>28</v>
      </c>
      <c r="D574">
        <v>4.57</v>
      </c>
      <c r="E574">
        <v>1.1000000000000001</v>
      </c>
      <c r="F574">
        <v>340</v>
      </c>
      <c r="G574">
        <v>101</v>
      </c>
      <c r="H574" t="s">
        <v>22</v>
      </c>
      <c r="I574" t="s">
        <v>22</v>
      </c>
      <c r="J574" t="s">
        <v>22</v>
      </c>
      <c r="K574" t="s">
        <v>22</v>
      </c>
      <c r="L574">
        <v>89.23</v>
      </c>
      <c r="M574">
        <v>8.1999999999999993</v>
      </c>
      <c r="N574" t="s">
        <v>29</v>
      </c>
      <c r="O574" t="s">
        <v>22</v>
      </c>
      <c r="P574">
        <v>30</v>
      </c>
      <c r="Q574">
        <v>30</v>
      </c>
      <c r="R574">
        <v>70</v>
      </c>
      <c r="S574">
        <v>0.35</v>
      </c>
    </row>
    <row r="575" spans="1:19" x14ac:dyDescent="0.25">
      <c r="A575">
        <v>1019</v>
      </c>
      <c r="B575">
        <v>7</v>
      </c>
      <c r="C575" t="s">
        <v>28</v>
      </c>
      <c r="D575">
        <v>4.57</v>
      </c>
      <c r="E575">
        <v>1.1000000000000001</v>
      </c>
      <c r="F575">
        <v>340</v>
      </c>
      <c r="G575">
        <v>101</v>
      </c>
      <c r="H575" t="s">
        <v>22</v>
      </c>
      <c r="I575" t="s">
        <v>22</v>
      </c>
      <c r="J575" t="s">
        <v>22</v>
      </c>
      <c r="K575" t="s">
        <v>22</v>
      </c>
      <c r="L575">
        <v>89.23</v>
      </c>
      <c r="M575">
        <v>8.1999999999999993</v>
      </c>
      <c r="N575" t="s">
        <v>29</v>
      </c>
      <c r="O575" t="s">
        <v>22</v>
      </c>
      <c r="P575">
        <v>30</v>
      </c>
      <c r="Q575">
        <v>30</v>
      </c>
      <c r="R575">
        <v>80</v>
      </c>
      <c r="S575">
        <v>0.36220000000000002</v>
      </c>
    </row>
    <row r="576" spans="1:19" x14ac:dyDescent="0.25">
      <c r="A576">
        <v>1019</v>
      </c>
      <c r="B576">
        <v>7</v>
      </c>
      <c r="C576" t="s">
        <v>28</v>
      </c>
      <c r="D576">
        <v>4.57</v>
      </c>
      <c r="E576">
        <v>1.1000000000000001</v>
      </c>
      <c r="F576">
        <v>340</v>
      </c>
      <c r="G576">
        <v>101</v>
      </c>
      <c r="H576" t="s">
        <v>22</v>
      </c>
      <c r="I576" t="s">
        <v>22</v>
      </c>
      <c r="J576" t="s">
        <v>22</v>
      </c>
      <c r="K576" t="s">
        <v>22</v>
      </c>
      <c r="L576">
        <v>89.23</v>
      </c>
      <c r="M576">
        <v>8.1999999999999993</v>
      </c>
      <c r="N576" t="s">
        <v>29</v>
      </c>
      <c r="O576" t="s">
        <v>22</v>
      </c>
      <c r="P576">
        <v>30</v>
      </c>
      <c r="Q576">
        <v>30</v>
      </c>
      <c r="R576">
        <v>90</v>
      </c>
      <c r="S576">
        <v>0.3503</v>
      </c>
    </row>
    <row r="577" spans="1:19" x14ac:dyDescent="0.25">
      <c r="A577">
        <v>1019</v>
      </c>
      <c r="B577">
        <v>7</v>
      </c>
      <c r="C577" t="s">
        <v>28</v>
      </c>
      <c r="D577">
        <v>4.57</v>
      </c>
      <c r="E577">
        <v>1.1000000000000001</v>
      </c>
      <c r="F577">
        <v>340</v>
      </c>
      <c r="G577">
        <v>101</v>
      </c>
      <c r="H577" t="s">
        <v>22</v>
      </c>
      <c r="I577" t="s">
        <v>22</v>
      </c>
      <c r="J577" t="s">
        <v>22</v>
      </c>
      <c r="K577" t="s">
        <v>22</v>
      </c>
      <c r="L577">
        <v>89.23</v>
      </c>
      <c r="M577">
        <v>8.1999999999999993</v>
      </c>
      <c r="N577" t="s">
        <v>29</v>
      </c>
      <c r="O577" t="s">
        <v>22</v>
      </c>
      <c r="P577">
        <v>30</v>
      </c>
      <c r="Q577">
        <v>30</v>
      </c>
      <c r="R577">
        <v>100</v>
      </c>
      <c r="S577">
        <v>0.35110000000000002</v>
      </c>
    </row>
    <row r="578" spans="1:19" x14ac:dyDescent="0.25">
      <c r="A578">
        <v>1019</v>
      </c>
      <c r="B578">
        <v>7</v>
      </c>
      <c r="C578" t="s">
        <v>28</v>
      </c>
      <c r="D578">
        <v>4.57</v>
      </c>
      <c r="E578">
        <v>1.1000000000000001</v>
      </c>
      <c r="F578">
        <v>340</v>
      </c>
      <c r="G578">
        <v>101</v>
      </c>
      <c r="H578" t="s">
        <v>22</v>
      </c>
      <c r="I578" t="s">
        <v>22</v>
      </c>
      <c r="J578" t="s">
        <v>22</v>
      </c>
      <c r="K578" t="s">
        <v>22</v>
      </c>
      <c r="L578">
        <v>89.23</v>
      </c>
      <c r="M578">
        <v>8.1999999999999993</v>
      </c>
      <c r="N578" t="s">
        <v>29</v>
      </c>
      <c r="O578" t="s">
        <v>22</v>
      </c>
      <c r="P578">
        <v>30</v>
      </c>
      <c r="Q578">
        <v>30</v>
      </c>
      <c r="R578">
        <v>105</v>
      </c>
      <c r="S578">
        <v>0.3508</v>
      </c>
    </row>
    <row r="579" spans="1:19" x14ac:dyDescent="0.25">
      <c r="A579">
        <v>1019</v>
      </c>
      <c r="B579">
        <v>7</v>
      </c>
      <c r="C579" t="s">
        <v>35</v>
      </c>
      <c r="D579">
        <v>5.18</v>
      </c>
      <c r="E579">
        <v>0.13200000000000001</v>
      </c>
      <c r="F579">
        <v>393</v>
      </c>
      <c r="G579">
        <v>150</v>
      </c>
      <c r="H579" t="s">
        <v>22</v>
      </c>
      <c r="I579" t="s">
        <v>22</v>
      </c>
      <c r="J579" t="s">
        <v>22</v>
      </c>
      <c r="K579" t="s">
        <v>22</v>
      </c>
      <c r="L579">
        <v>89.23</v>
      </c>
      <c r="M579">
        <v>8.1999999999999993</v>
      </c>
      <c r="N579" t="s">
        <v>32</v>
      </c>
      <c r="O579" t="s">
        <v>22</v>
      </c>
      <c r="P579">
        <v>30</v>
      </c>
      <c r="Q579">
        <v>30</v>
      </c>
      <c r="R579">
        <v>10</v>
      </c>
      <c r="S579">
        <v>3.7999999999999999E-2</v>
      </c>
    </row>
    <row r="580" spans="1:19" x14ac:dyDescent="0.25">
      <c r="A580">
        <v>1019</v>
      </c>
      <c r="B580">
        <v>7</v>
      </c>
      <c r="C580" t="s">
        <v>35</v>
      </c>
      <c r="D580">
        <v>5.18</v>
      </c>
      <c r="E580">
        <v>0.13200000000000001</v>
      </c>
      <c r="F580">
        <v>393</v>
      </c>
      <c r="G580">
        <v>150</v>
      </c>
      <c r="H580" t="s">
        <v>22</v>
      </c>
      <c r="I580" t="s">
        <v>22</v>
      </c>
      <c r="J580" t="s">
        <v>22</v>
      </c>
      <c r="K580" t="s">
        <v>22</v>
      </c>
      <c r="L580">
        <v>89.23</v>
      </c>
      <c r="M580">
        <v>8.1999999999999993</v>
      </c>
      <c r="N580" t="s">
        <v>32</v>
      </c>
      <c r="O580" t="s">
        <v>22</v>
      </c>
      <c r="P580">
        <v>30</v>
      </c>
      <c r="Q580">
        <v>30</v>
      </c>
      <c r="R580">
        <v>20</v>
      </c>
      <c r="S580">
        <v>7.4999999999999997E-2</v>
      </c>
    </row>
    <row r="581" spans="1:19" x14ac:dyDescent="0.25">
      <c r="A581">
        <v>1019</v>
      </c>
      <c r="B581">
        <v>7</v>
      </c>
      <c r="C581" t="s">
        <v>35</v>
      </c>
      <c r="D581">
        <v>5.18</v>
      </c>
      <c r="E581">
        <v>0.13200000000000001</v>
      </c>
      <c r="F581">
        <v>393</v>
      </c>
      <c r="G581">
        <v>150</v>
      </c>
      <c r="H581" t="s">
        <v>22</v>
      </c>
      <c r="I581" t="s">
        <v>22</v>
      </c>
      <c r="J581" t="s">
        <v>22</v>
      </c>
      <c r="K581" t="s">
        <v>22</v>
      </c>
      <c r="L581">
        <v>89.23</v>
      </c>
      <c r="M581">
        <v>8.1999999999999993</v>
      </c>
      <c r="N581" t="s">
        <v>32</v>
      </c>
      <c r="O581" t="s">
        <v>22</v>
      </c>
      <c r="P581">
        <v>30</v>
      </c>
      <c r="Q581">
        <v>30</v>
      </c>
      <c r="R581">
        <v>30</v>
      </c>
      <c r="S581">
        <v>0.125</v>
      </c>
    </row>
    <row r="582" spans="1:19" x14ac:dyDescent="0.25">
      <c r="A582">
        <v>1019</v>
      </c>
      <c r="B582">
        <v>7</v>
      </c>
      <c r="C582" t="s">
        <v>35</v>
      </c>
      <c r="D582">
        <v>5.18</v>
      </c>
      <c r="E582">
        <v>0.13200000000000001</v>
      </c>
      <c r="F582">
        <v>393</v>
      </c>
      <c r="G582">
        <v>150</v>
      </c>
      <c r="H582" t="s">
        <v>22</v>
      </c>
      <c r="I582" t="s">
        <v>22</v>
      </c>
      <c r="J582" t="s">
        <v>22</v>
      </c>
      <c r="K582" t="s">
        <v>22</v>
      </c>
      <c r="L582">
        <v>89.23</v>
      </c>
      <c r="M582">
        <v>8.1999999999999993</v>
      </c>
      <c r="N582" t="s">
        <v>32</v>
      </c>
      <c r="O582" t="s">
        <v>22</v>
      </c>
      <c r="P582">
        <v>30</v>
      </c>
      <c r="Q582">
        <v>30</v>
      </c>
      <c r="R582">
        <v>40</v>
      </c>
      <c r="S582">
        <v>0.1507</v>
      </c>
    </row>
    <row r="583" spans="1:19" x14ac:dyDescent="0.25">
      <c r="A583">
        <v>1019</v>
      </c>
      <c r="B583">
        <v>7</v>
      </c>
      <c r="C583" t="s">
        <v>35</v>
      </c>
      <c r="D583">
        <v>5.18</v>
      </c>
      <c r="E583">
        <v>0.13200000000000001</v>
      </c>
      <c r="F583">
        <v>393</v>
      </c>
      <c r="G583">
        <v>150</v>
      </c>
      <c r="H583" t="s">
        <v>22</v>
      </c>
      <c r="I583" t="s">
        <v>22</v>
      </c>
      <c r="J583" t="s">
        <v>22</v>
      </c>
      <c r="K583" t="s">
        <v>22</v>
      </c>
      <c r="L583">
        <v>89.23</v>
      </c>
      <c r="M583">
        <v>8.1999999999999993</v>
      </c>
      <c r="N583" t="s">
        <v>32</v>
      </c>
      <c r="O583" t="s">
        <v>22</v>
      </c>
      <c r="P583">
        <v>30</v>
      </c>
      <c r="Q583">
        <v>30</v>
      </c>
      <c r="R583">
        <v>50</v>
      </c>
      <c r="S583">
        <v>0.17330000000000001</v>
      </c>
    </row>
    <row r="584" spans="1:19" x14ac:dyDescent="0.25">
      <c r="A584">
        <v>1019</v>
      </c>
      <c r="B584">
        <v>7</v>
      </c>
      <c r="C584" t="s">
        <v>35</v>
      </c>
      <c r="D584">
        <v>5.18</v>
      </c>
      <c r="E584">
        <v>0.13200000000000001</v>
      </c>
      <c r="F584">
        <v>393</v>
      </c>
      <c r="G584">
        <v>150</v>
      </c>
      <c r="H584" t="s">
        <v>22</v>
      </c>
      <c r="I584" t="s">
        <v>22</v>
      </c>
      <c r="J584" t="s">
        <v>22</v>
      </c>
      <c r="K584" t="s">
        <v>22</v>
      </c>
      <c r="L584">
        <v>89.23</v>
      </c>
      <c r="M584">
        <v>8.1999999999999993</v>
      </c>
      <c r="N584" t="s">
        <v>32</v>
      </c>
      <c r="O584" t="s">
        <v>22</v>
      </c>
      <c r="P584">
        <v>30</v>
      </c>
      <c r="Q584">
        <v>30</v>
      </c>
      <c r="R584">
        <v>60</v>
      </c>
      <c r="S584">
        <v>0.2732</v>
      </c>
    </row>
    <row r="585" spans="1:19" x14ac:dyDescent="0.25">
      <c r="A585">
        <v>1019</v>
      </c>
      <c r="B585">
        <v>7</v>
      </c>
      <c r="C585" t="s">
        <v>35</v>
      </c>
      <c r="D585">
        <v>5.18</v>
      </c>
      <c r="E585">
        <v>0.13200000000000001</v>
      </c>
      <c r="F585">
        <v>393</v>
      </c>
      <c r="G585">
        <v>150</v>
      </c>
      <c r="H585" t="s">
        <v>22</v>
      </c>
      <c r="I585" t="s">
        <v>22</v>
      </c>
      <c r="J585" t="s">
        <v>22</v>
      </c>
      <c r="K585" t="s">
        <v>22</v>
      </c>
      <c r="L585">
        <v>89.23</v>
      </c>
      <c r="M585">
        <v>8.1999999999999993</v>
      </c>
      <c r="N585" t="s">
        <v>32</v>
      </c>
      <c r="O585" t="s">
        <v>22</v>
      </c>
      <c r="P585">
        <v>30</v>
      </c>
      <c r="Q585">
        <v>30</v>
      </c>
      <c r="R585">
        <v>70</v>
      </c>
      <c r="S585">
        <v>0.27439999999999998</v>
      </c>
    </row>
    <row r="586" spans="1:19" x14ac:dyDescent="0.25">
      <c r="A586">
        <v>1019</v>
      </c>
      <c r="B586">
        <v>7</v>
      </c>
      <c r="C586" t="s">
        <v>35</v>
      </c>
      <c r="D586">
        <v>5.18</v>
      </c>
      <c r="E586">
        <v>0.13200000000000001</v>
      </c>
      <c r="F586">
        <v>393</v>
      </c>
      <c r="G586">
        <v>150</v>
      </c>
      <c r="H586" t="s">
        <v>22</v>
      </c>
      <c r="I586" t="s">
        <v>22</v>
      </c>
      <c r="J586" t="s">
        <v>22</v>
      </c>
      <c r="K586" t="s">
        <v>22</v>
      </c>
      <c r="L586">
        <v>89.23</v>
      </c>
      <c r="M586">
        <v>8.1999999999999993</v>
      </c>
      <c r="N586" t="s">
        <v>32</v>
      </c>
      <c r="O586" t="s">
        <v>22</v>
      </c>
      <c r="P586">
        <v>30</v>
      </c>
      <c r="Q586">
        <v>30</v>
      </c>
      <c r="R586">
        <v>80</v>
      </c>
      <c r="S586">
        <v>0.27500000000000002</v>
      </c>
    </row>
    <row r="587" spans="1:19" x14ac:dyDescent="0.25">
      <c r="A587">
        <v>1019</v>
      </c>
      <c r="B587">
        <v>7</v>
      </c>
      <c r="C587" t="s">
        <v>35</v>
      </c>
      <c r="D587">
        <v>5.18</v>
      </c>
      <c r="E587">
        <v>0.13200000000000001</v>
      </c>
      <c r="F587">
        <v>393</v>
      </c>
      <c r="G587">
        <v>150</v>
      </c>
      <c r="H587" t="s">
        <v>22</v>
      </c>
      <c r="I587" t="s">
        <v>22</v>
      </c>
      <c r="J587" t="s">
        <v>22</v>
      </c>
      <c r="K587" t="s">
        <v>22</v>
      </c>
      <c r="L587">
        <v>89.23</v>
      </c>
      <c r="M587">
        <v>8.1999999999999993</v>
      </c>
      <c r="N587" t="s">
        <v>32</v>
      </c>
      <c r="O587" t="s">
        <v>22</v>
      </c>
      <c r="P587">
        <v>30</v>
      </c>
      <c r="Q587">
        <v>30</v>
      </c>
      <c r="R587">
        <v>90</v>
      </c>
      <c r="S587">
        <v>0.27650000000000002</v>
      </c>
    </row>
    <row r="588" spans="1:19" x14ac:dyDescent="0.25">
      <c r="A588">
        <v>1019</v>
      </c>
      <c r="B588">
        <v>7</v>
      </c>
      <c r="C588" t="s">
        <v>35</v>
      </c>
      <c r="D588">
        <v>5.18</v>
      </c>
      <c r="E588">
        <v>0.13200000000000001</v>
      </c>
      <c r="F588">
        <v>393</v>
      </c>
      <c r="G588">
        <v>150</v>
      </c>
      <c r="H588" t="s">
        <v>22</v>
      </c>
      <c r="I588" t="s">
        <v>22</v>
      </c>
      <c r="J588" t="s">
        <v>22</v>
      </c>
      <c r="K588" t="s">
        <v>22</v>
      </c>
      <c r="L588">
        <v>89.23</v>
      </c>
      <c r="M588">
        <v>8.1999999999999993</v>
      </c>
      <c r="N588" t="s">
        <v>32</v>
      </c>
      <c r="O588" t="s">
        <v>22</v>
      </c>
      <c r="P588">
        <v>30</v>
      </c>
      <c r="Q588">
        <v>30</v>
      </c>
      <c r="R588">
        <v>100</v>
      </c>
      <c r="S588">
        <v>0.27679999999999999</v>
      </c>
    </row>
    <row r="589" spans="1:19" x14ac:dyDescent="0.25">
      <c r="A589">
        <v>1019</v>
      </c>
      <c r="B589">
        <v>7</v>
      </c>
      <c r="C589" t="s">
        <v>35</v>
      </c>
      <c r="D589">
        <v>5.18</v>
      </c>
      <c r="E589">
        <v>0.13200000000000001</v>
      </c>
      <c r="F589">
        <v>393</v>
      </c>
      <c r="G589">
        <v>150</v>
      </c>
      <c r="H589" t="s">
        <v>22</v>
      </c>
      <c r="I589" t="s">
        <v>22</v>
      </c>
      <c r="J589" t="s">
        <v>22</v>
      </c>
      <c r="K589" t="s">
        <v>22</v>
      </c>
      <c r="L589">
        <v>89.23</v>
      </c>
      <c r="M589">
        <v>8.1999999999999993</v>
      </c>
      <c r="N589" t="s">
        <v>32</v>
      </c>
      <c r="O589" t="s">
        <v>22</v>
      </c>
      <c r="P589">
        <v>30</v>
      </c>
      <c r="Q589">
        <v>30</v>
      </c>
      <c r="R589">
        <v>105</v>
      </c>
      <c r="S589">
        <v>0.2767</v>
      </c>
    </row>
    <row r="590" spans="1:19" x14ac:dyDescent="0.25">
      <c r="A590">
        <v>1020</v>
      </c>
      <c r="B590">
        <v>1</v>
      </c>
      <c r="C590" t="s">
        <v>19</v>
      </c>
      <c r="D590">
        <v>4.95</v>
      </c>
      <c r="E590">
        <v>31.7</v>
      </c>
      <c r="F590">
        <v>123.98</v>
      </c>
      <c r="G590">
        <v>307.2</v>
      </c>
      <c r="H590" t="s">
        <v>22</v>
      </c>
      <c r="I590">
        <v>566</v>
      </c>
      <c r="J590">
        <v>1000</v>
      </c>
      <c r="K590" t="s">
        <v>22</v>
      </c>
      <c r="L590" t="s">
        <v>22</v>
      </c>
      <c r="M590">
        <v>7.75</v>
      </c>
      <c r="N590" t="s">
        <v>29</v>
      </c>
      <c r="O590" t="s">
        <v>22</v>
      </c>
      <c r="P590">
        <v>50.21</v>
      </c>
      <c r="Q590">
        <v>25</v>
      </c>
      <c r="R590">
        <v>90</v>
      </c>
      <c r="S590">
        <v>0.35470000000000002</v>
      </c>
    </row>
    <row r="591" spans="1:19" x14ac:dyDescent="0.25">
      <c r="A591">
        <v>1020</v>
      </c>
      <c r="B591">
        <v>1</v>
      </c>
      <c r="C591" t="s">
        <v>19</v>
      </c>
      <c r="D591">
        <v>4.95</v>
      </c>
      <c r="E591">
        <v>31.7</v>
      </c>
      <c r="F591">
        <v>169</v>
      </c>
      <c r="G591">
        <v>417.5</v>
      </c>
      <c r="H591" t="s">
        <v>22</v>
      </c>
      <c r="I591">
        <v>566</v>
      </c>
      <c r="J591">
        <v>1000</v>
      </c>
      <c r="K591" t="s">
        <v>22</v>
      </c>
      <c r="L591" t="s">
        <v>22</v>
      </c>
      <c r="M591">
        <v>7.75</v>
      </c>
      <c r="N591" t="s">
        <v>32</v>
      </c>
      <c r="O591" t="s">
        <v>22</v>
      </c>
      <c r="P591">
        <v>410.04</v>
      </c>
      <c r="Q591">
        <v>25</v>
      </c>
      <c r="R591">
        <v>90</v>
      </c>
      <c r="S591">
        <v>0.53610000000000002</v>
      </c>
    </row>
    <row r="592" spans="1:19" x14ac:dyDescent="0.25">
      <c r="A592">
        <v>1020</v>
      </c>
      <c r="B592">
        <v>1</v>
      </c>
      <c r="C592" t="s">
        <v>19</v>
      </c>
      <c r="D592">
        <v>4.95</v>
      </c>
      <c r="E592">
        <v>31.7</v>
      </c>
      <c r="F592">
        <v>198.6</v>
      </c>
      <c r="G592">
        <v>495.6</v>
      </c>
      <c r="H592" t="s">
        <v>22</v>
      </c>
      <c r="I592">
        <v>566</v>
      </c>
      <c r="J592">
        <v>1000</v>
      </c>
      <c r="K592" t="s">
        <v>22</v>
      </c>
      <c r="L592" t="s">
        <v>22</v>
      </c>
      <c r="M592">
        <v>7.75</v>
      </c>
      <c r="N592" t="s">
        <v>38</v>
      </c>
      <c r="O592" t="s">
        <v>22</v>
      </c>
      <c r="P592">
        <v>207.35</v>
      </c>
      <c r="Q592">
        <v>25</v>
      </c>
      <c r="R592">
        <v>90</v>
      </c>
      <c r="S592">
        <v>0.3296</v>
      </c>
    </row>
    <row r="593" spans="1:19" x14ac:dyDescent="0.25">
      <c r="A593">
        <v>1020</v>
      </c>
      <c r="B593">
        <v>1</v>
      </c>
      <c r="C593" t="s">
        <v>19</v>
      </c>
      <c r="D593">
        <v>4.95</v>
      </c>
      <c r="E593">
        <v>31.7</v>
      </c>
      <c r="F593">
        <v>278</v>
      </c>
      <c r="G593">
        <v>500</v>
      </c>
      <c r="H593" t="s">
        <v>22</v>
      </c>
      <c r="I593">
        <v>566</v>
      </c>
      <c r="J593">
        <v>1000</v>
      </c>
      <c r="K593" t="s">
        <v>22</v>
      </c>
      <c r="L593" t="s">
        <v>22</v>
      </c>
      <c r="M593">
        <v>7.75</v>
      </c>
      <c r="N593" t="s">
        <v>43</v>
      </c>
      <c r="O593" t="s">
        <v>22</v>
      </c>
      <c r="P593">
        <v>70</v>
      </c>
      <c r="Q593">
        <v>25</v>
      </c>
      <c r="R593">
        <v>90</v>
      </c>
      <c r="S593">
        <v>0.34670000000000001</v>
      </c>
    </row>
    <row r="594" spans="1:19" x14ac:dyDescent="0.25">
      <c r="A594">
        <v>1020</v>
      </c>
      <c r="B594">
        <v>2</v>
      </c>
      <c r="C594" t="s">
        <v>19</v>
      </c>
      <c r="D594">
        <v>4.95</v>
      </c>
      <c r="E594">
        <v>31.7</v>
      </c>
      <c r="F594">
        <v>123.98</v>
      </c>
      <c r="G594">
        <v>307.2</v>
      </c>
      <c r="H594" t="s">
        <v>22</v>
      </c>
      <c r="I594">
        <v>542</v>
      </c>
      <c r="J594">
        <v>1100</v>
      </c>
      <c r="K594" t="s">
        <v>22</v>
      </c>
      <c r="L594" t="s">
        <v>22</v>
      </c>
      <c r="M594">
        <v>8.01</v>
      </c>
      <c r="N594" t="s">
        <v>29</v>
      </c>
      <c r="O594" t="s">
        <v>22</v>
      </c>
      <c r="P594">
        <v>50.21</v>
      </c>
      <c r="Q594">
        <v>25</v>
      </c>
      <c r="R594">
        <v>90</v>
      </c>
      <c r="S594">
        <v>9.1800000000000007E-2</v>
      </c>
    </row>
    <row r="595" spans="1:19" x14ac:dyDescent="0.25">
      <c r="A595">
        <v>1020</v>
      </c>
      <c r="B595">
        <v>2</v>
      </c>
      <c r="C595" t="s">
        <v>19</v>
      </c>
      <c r="D595">
        <v>4.95</v>
      </c>
      <c r="E595">
        <v>31.7</v>
      </c>
      <c r="F595">
        <v>169</v>
      </c>
      <c r="G595">
        <v>417.5</v>
      </c>
      <c r="H595" t="s">
        <v>22</v>
      </c>
      <c r="I595">
        <v>542</v>
      </c>
      <c r="J595">
        <v>1100</v>
      </c>
      <c r="K595" t="s">
        <v>22</v>
      </c>
      <c r="L595" t="s">
        <v>22</v>
      </c>
      <c r="M595">
        <v>8.01</v>
      </c>
      <c r="N595" t="s">
        <v>32</v>
      </c>
      <c r="O595" t="s">
        <v>22</v>
      </c>
      <c r="P595">
        <v>410.04</v>
      </c>
      <c r="Q595">
        <v>25</v>
      </c>
      <c r="R595">
        <v>90</v>
      </c>
      <c r="S595">
        <v>0.73380000000000001</v>
      </c>
    </row>
    <row r="596" spans="1:19" x14ac:dyDescent="0.25">
      <c r="A596">
        <v>1020</v>
      </c>
      <c r="B596">
        <v>2</v>
      </c>
      <c r="C596" t="s">
        <v>19</v>
      </c>
      <c r="D596">
        <v>4.95</v>
      </c>
      <c r="E596">
        <v>31.7</v>
      </c>
      <c r="F596">
        <v>198.6</v>
      </c>
      <c r="G596">
        <v>495.6</v>
      </c>
      <c r="H596" t="s">
        <v>22</v>
      </c>
      <c r="I596">
        <v>542</v>
      </c>
      <c r="J596">
        <v>1100</v>
      </c>
      <c r="K596" t="s">
        <v>22</v>
      </c>
      <c r="L596" t="s">
        <v>22</v>
      </c>
      <c r="M596">
        <v>8.01</v>
      </c>
      <c r="N596" t="s">
        <v>38</v>
      </c>
      <c r="O596" t="s">
        <v>22</v>
      </c>
      <c r="P596">
        <v>207.35</v>
      </c>
      <c r="Q596">
        <v>25</v>
      </c>
      <c r="R596">
        <v>90</v>
      </c>
      <c r="S596">
        <v>0.46949999999999997</v>
      </c>
    </row>
    <row r="597" spans="1:19" x14ac:dyDescent="0.25">
      <c r="A597">
        <v>1020</v>
      </c>
      <c r="B597">
        <v>2</v>
      </c>
      <c r="C597" t="s">
        <v>19</v>
      </c>
      <c r="D597">
        <v>4.95</v>
      </c>
      <c r="E597">
        <v>31.7</v>
      </c>
      <c r="F597">
        <v>278</v>
      </c>
      <c r="G597">
        <v>500</v>
      </c>
      <c r="H597" t="s">
        <v>22</v>
      </c>
      <c r="I597">
        <v>542</v>
      </c>
      <c r="J597">
        <v>1100</v>
      </c>
      <c r="K597" t="s">
        <v>22</v>
      </c>
      <c r="L597" t="s">
        <v>22</v>
      </c>
      <c r="M597">
        <v>8.01</v>
      </c>
      <c r="N597" t="s">
        <v>43</v>
      </c>
      <c r="O597" t="s">
        <v>22</v>
      </c>
      <c r="P597">
        <v>70</v>
      </c>
      <c r="Q597">
        <v>25</v>
      </c>
      <c r="R597">
        <v>90</v>
      </c>
      <c r="S597">
        <v>0.40139999999999998</v>
      </c>
    </row>
    <row r="598" spans="1:19" x14ac:dyDescent="0.25">
      <c r="A598">
        <v>1020</v>
      </c>
      <c r="B598">
        <v>3</v>
      </c>
      <c r="C598" t="s">
        <v>19</v>
      </c>
      <c r="D598">
        <v>4.95</v>
      </c>
      <c r="E598">
        <v>31.7</v>
      </c>
      <c r="F598">
        <v>123.98</v>
      </c>
      <c r="G598">
        <v>307.2</v>
      </c>
      <c r="H598" t="s">
        <v>22</v>
      </c>
      <c r="I598">
        <v>764</v>
      </c>
      <c r="J598">
        <v>1200</v>
      </c>
      <c r="K598" t="s">
        <v>22</v>
      </c>
      <c r="L598" t="s">
        <v>22</v>
      </c>
      <c r="M598">
        <v>7.44</v>
      </c>
      <c r="N598" t="s">
        <v>29</v>
      </c>
      <c r="O598" t="s">
        <v>22</v>
      </c>
      <c r="P598">
        <v>50.21</v>
      </c>
      <c r="Q598">
        <v>25</v>
      </c>
      <c r="R598">
        <v>90</v>
      </c>
      <c r="S598">
        <v>0.65739999999999998</v>
      </c>
    </row>
    <row r="599" spans="1:19" x14ac:dyDescent="0.25">
      <c r="A599">
        <v>1020</v>
      </c>
      <c r="B599">
        <v>3</v>
      </c>
      <c r="C599" t="s">
        <v>19</v>
      </c>
      <c r="D599">
        <v>4.95</v>
      </c>
      <c r="E599">
        <v>31.7</v>
      </c>
      <c r="F599">
        <v>169</v>
      </c>
      <c r="G599">
        <v>417.5</v>
      </c>
      <c r="H599" t="s">
        <v>22</v>
      </c>
      <c r="I599">
        <v>764</v>
      </c>
      <c r="J599">
        <v>1200</v>
      </c>
      <c r="K599" t="s">
        <v>22</v>
      </c>
      <c r="L599" t="s">
        <v>22</v>
      </c>
      <c r="M599">
        <v>7.44</v>
      </c>
      <c r="N599" t="s">
        <v>32</v>
      </c>
      <c r="O599" t="s">
        <v>22</v>
      </c>
      <c r="P599">
        <v>410.04</v>
      </c>
      <c r="Q599">
        <v>25</v>
      </c>
      <c r="R599">
        <v>90</v>
      </c>
      <c r="S599">
        <v>0.78359999999999996</v>
      </c>
    </row>
    <row r="600" spans="1:19" x14ac:dyDescent="0.25">
      <c r="A600">
        <v>1020</v>
      </c>
      <c r="B600">
        <v>3</v>
      </c>
      <c r="C600" t="s">
        <v>19</v>
      </c>
      <c r="D600">
        <v>4.95</v>
      </c>
      <c r="E600">
        <v>31.7</v>
      </c>
      <c r="F600">
        <v>198.6</v>
      </c>
      <c r="G600">
        <v>495.6</v>
      </c>
      <c r="H600" t="s">
        <v>22</v>
      </c>
      <c r="I600">
        <v>764</v>
      </c>
      <c r="J600">
        <v>1200</v>
      </c>
      <c r="K600" t="s">
        <v>22</v>
      </c>
      <c r="L600" t="s">
        <v>22</v>
      </c>
      <c r="M600">
        <v>7.44</v>
      </c>
      <c r="N600" t="s">
        <v>38</v>
      </c>
      <c r="O600" t="s">
        <v>22</v>
      </c>
      <c r="P600">
        <v>207.35</v>
      </c>
      <c r="Q600">
        <v>25</v>
      </c>
      <c r="R600">
        <v>90</v>
      </c>
      <c r="S600">
        <v>0.57079999999999997</v>
      </c>
    </row>
    <row r="601" spans="1:19" x14ac:dyDescent="0.25">
      <c r="A601">
        <v>1020</v>
      </c>
      <c r="B601">
        <v>3</v>
      </c>
      <c r="C601" t="s">
        <v>19</v>
      </c>
      <c r="D601">
        <v>4.95</v>
      </c>
      <c r="E601">
        <v>31.7</v>
      </c>
      <c r="F601">
        <v>278</v>
      </c>
      <c r="G601">
        <v>500</v>
      </c>
      <c r="H601" t="s">
        <v>22</v>
      </c>
      <c r="I601">
        <v>764</v>
      </c>
      <c r="J601">
        <v>1200</v>
      </c>
      <c r="K601" t="s">
        <v>22</v>
      </c>
      <c r="L601" t="s">
        <v>22</v>
      </c>
      <c r="M601">
        <v>7.44</v>
      </c>
      <c r="N601" t="s">
        <v>43</v>
      </c>
      <c r="O601" t="s">
        <v>22</v>
      </c>
      <c r="P601">
        <v>70</v>
      </c>
      <c r="Q601">
        <v>25</v>
      </c>
      <c r="R601">
        <v>90</v>
      </c>
      <c r="S601">
        <v>0.43280000000000002</v>
      </c>
    </row>
    <row r="602" spans="1:19" x14ac:dyDescent="0.25">
      <c r="A602">
        <v>1021</v>
      </c>
      <c r="B602">
        <v>1</v>
      </c>
      <c r="C602" t="s">
        <v>28</v>
      </c>
      <c r="D602">
        <v>4.57</v>
      </c>
      <c r="E602">
        <v>1.1000000000000001</v>
      </c>
      <c r="F602">
        <v>340</v>
      </c>
      <c r="G602">
        <v>101</v>
      </c>
      <c r="H602" t="s">
        <v>22</v>
      </c>
      <c r="I602" t="s">
        <v>22</v>
      </c>
      <c r="J602">
        <v>18600</v>
      </c>
      <c r="K602">
        <v>5</v>
      </c>
      <c r="L602" t="s">
        <v>22</v>
      </c>
      <c r="M602">
        <v>10.029999999999999</v>
      </c>
      <c r="N602" t="s">
        <v>29</v>
      </c>
      <c r="O602">
        <v>40</v>
      </c>
      <c r="P602">
        <v>100</v>
      </c>
      <c r="Q602">
        <v>25</v>
      </c>
      <c r="R602">
        <v>3</v>
      </c>
      <c r="S602">
        <v>0</v>
      </c>
    </row>
    <row r="603" spans="1:19" x14ac:dyDescent="0.25">
      <c r="A603">
        <v>1021</v>
      </c>
      <c r="B603">
        <v>1</v>
      </c>
      <c r="C603" t="s">
        <v>28</v>
      </c>
      <c r="D603">
        <v>4.57</v>
      </c>
      <c r="E603">
        <v>1.1000000000000001</v>
      </c>
      <c r="F603">
        <v>340</v>
      </c>
      <c r="G603">
        <v>101</v>
      </c>
      <c r="H603" t="s">
        <v>22</v>
      </c>
      <c r="I603" t="s">
        <v>22</v>
      </c>
      <c r="J603">
        <v>18600</v>
      </c>
      <c r="K603">
        <v>5</v>
      </c>
      <c r="L603" t="s">
        <v>22</v>
      </c>
      <c r="M603">
        <v>10.029999999999999</v>
      </c>
      <c r="N603" t="s">
        <v>29</v>
      </c>
      <c r="O603">
        <v>40</v>
      </c>
      <c r="P603">
        <v>100</v>
      </c>
      <c r="Q603">
        <v>25</v>
      </c>
      <c r="R603">
        <v>8</v>
      </c>
      <c r="S603">
        <v>0</v>
      </c>
    </row>
    <row r="604" spans="1:19" x14ac:dyDescent="0.25">
      <c r="A604">
        <v>1021</v>
      </c>
      <c r="B604">
        <v>1</v>
      </c>
      <c r="C604" t="s">
        <v>28</v>
      </c>
      <c r="D604">
        <v>4.57</v>
      </c>
      <c r="E604">
        <v>1.1000000000000001</v>
      </c>
      <c r="F604">
        <v>340</v>
      </c>
      <c r="G604">
        <v>101</v>
      </c>
      <c r="H604" t="s">
        <v>22</v>
      </c>
      <c r="I604" t="s">
        <v>22</v>
      </c>
      <c r="J604">
        <v>18600</v>
      </c>
      <c r="K604">
        <v>5</v>
      </c>
      <c r="L604" t="s">
        <v>22</v>
      </c>
      <c r="M604">
        <v>10.029999999999999</v>
      </c>
      <c r="N604" t="s">
        <v>29</v>
      </c>
      <c r="O604">
        <v>40</v>
      </c>
      <c r="P604">
        <v>100</v>
      </c>
      <c r="Q604">
        <v>25</v>
      </c>
      <c r="R604">
        <v>12</v>
      </c>
      <c r="S604">
        <v>0.03</v>
      </c>
    </row>
    <row r="605" spans="1:19" x14ac:dyDescent="0.25">
      <c r="A605">
        <v>1021</v>
      </c>
      <c r="B605">
        <v>1</v>
      </c>
      <c r="C605" t="s">
        <v>28</v>
      </c>
      <c r="D605">
        <v>4.57</v>
      </c>
      <c r="E605">
        <v>1.1000000000000001</v>
      </c>
      <c r="F605">
        <v>340</v>
      </c>
      <c r="G605">
        <v>101</v>
      </c>
      <c r="H605" t="s">
        <v>22</v>
      </c>
      <c r="I605" t="s">
        <v>22</v>
      </c>
      <c r="J605">
        <v>18600</v>
      </c>
      <c r="K605">
        <v>5</v>
      </c>
      <c r="L605" t="s">
        <v>22</v>
      </c>
      <c r="M605">
        <v>10.029999999999999</v>
      </c>
      <c r="N605" t="s">
        <v>29</v>
      </c>
      <c r="O605">
        <v>40</v>
      </c>
      <c r="P605">
        <v>100</v>
      </c>
      <c r="Q605">
        <v>25</v>
      </c>
      <c r="R605">
        <v>20</v>
      </c>
      <c r="S605">
        <v>0.1671</v>
      </c>
    </row>
    <row r="606" spans="1:19" x14ac:dyDescent="0.25">
      <c r="A606">
        <v>1021</v>
      </c>
      <c r="B606">
        <v>1</v>
      </c>
      <c r="C606" t="s">
        <v>35</v>
      </c>
      <c r="D606">
        <v>5.18</v>
      </c>
      <c r="E606">
        <v>0.13200000000000001</v>
      </c>
      <c r="F606">
        <v>393</v>
      </c>
      <c r="G606">
        <v>150</v>
      </c>
      <c r="H606" t="s">
        <v>22</v>
      </c>
      <c r="I606" t="s">
        <v>22</v>
      </c>
      <c r="J606">
        <v>18600</v>
      </c>
      <c r="K606">
        <v>5</v>
      </c>
      <c r="L606" t="s">
        <v>22</v>
      </c>
      <c r="M606">
        <v>10.029999999999999</v>
      </c>
      <c r="N606" t="s">
        <v>32</v>
      </c>
      <c r="O606">
        <v>40</v>
      </c>
      <c r="P606">
        <v>100</v>
      </c>
      <c r="Q606">
        <v>25</v>
      </c>
      <c r="R606">
        <v>3</v>
      </c>
      <c r="S606">
        <v>0.09</v>
      </c>
    </row>
    <row r="607" spans="1:19" x14ac:dyDescent="0.25">
      <c r="A607">
        <v>1021</v>
      </c>
      <c r="B607">
        <v>1</v>
      </c>
      <c r="C607" t="s">
        <v>35</v>
      </c>
      <c r="D607">
        <v>5.18</v>
      </c>
      <c r="E607">
        <v>0.13200000000000001</v>
      </c>
      <c r="F607">
        <v>393</v>
      </c>
      <c r="G607">
        <v>150</v>
      </c>
      <c r="H607" t="s">
        <v>22</v>
      </c>
      <c r="I607" t="s">
        <v>22</v>
      </c>
      <c r="J607">
        <v>18600</v>
      </c>
      <c r="K607">
        <v>5</v>
      </c>
      <c r="L607" t="s">
        <v>22</v>
      </c>
      <c r="M607">
        <v>10.029999999999999</v>
      </c>
      <c r="N607" t="s">
        <v>32</v>
      </c>
      <c r="O607">
        <v>40</v>
      </c>
      <c r="P607">
        <v>100</v>
      </c>
      <c r="Q607">
        <v>25</v>
      </c>
      <c r="R607">
        <v>8</v>
      </c>
      <c r="S607">
        <v>0</v>
      </c>
    </row>
    <row r="608" spans="1:19" x14ac:dyDescent="0.25">
      <c r="A608">
        <v>1021</v>
      </c>
      <c r="B608">
        <v>1</v>
      </c>
      <c r="C608" t="s">
        <v>35</v>
      </c>
      <c r="D608">
        <v>5.18</v>
      </c>
      <c r="E608">
        <v>0.13200000000000001</v>
      </c>
      <c r="F608">
        <v>393</v>
      </c>
      <c r="G608">
        <v>150</v>
      </c>
      <c r="H608" t="s">
        <v>22</v>
      </c>
      <c r="I608" t="s">
        <v>22</v>
      </c>
      <c r="J608">
        <v>18600</v>
      </c>
      <c r="K608">
        <v>5</v>
      </c>
      <c r="L608" t="s">
        <v>22</v>
      </c>
      <c r="M608">
        <v>10.029999999999999</v>
      </c>
      <c r="N608" t="s">
        <v>32</v>
      </c>
      <c r="O608">
        <v>40</v>
      </c>
      <c r="P608">
        <v>100</v>
      </c>
      <c r="Q608">
        <v>25</v>
      </c>
      <c r="R608">
        <v>12</v>
      </c>
      <c r="S608">
        <v>0.15</v>
      </c>
    </row>
    <row r="609" spans="1:19" x14ac:dyDescent="0.25">
      <c r="A609">
        <v>1021</v>
      </c>
      <c r="B609">
        <v>1</v>
      </c>
      <c r="C609" t="s">
        <v>35</v>
      </c>
      <c r="D609">
        <v>5.18</v>
      </c>
      <c r="E609">
        <v>0.13200000000000001</v>
      </c>
      <c r="F609">
        <v>393</v>
      </c>
      <c r="G609">
        <v>150</v>
      </c>
      <c r="H609" t="s">
        <v>22</v>
      </c>
      <c r="I609" t="s">
        <v>22</v>
      </c>
      <c r="J609">
        <v>18600</v>
      </c>
      <c r="K609">
        <v>5</v>
      </c>
      <c r="L609" t="s">
        <v>22</v>
      </c>
      <c r="M609">
        <v>10.029999999999999</v>
      </c>
      <c r="N609" t="s">
        <v>32</v>
      </c>
      <c r="O609">
        <v>40</v>
      </c>
      <c r="P609">
        <v>100</v>
      </c>
      <c r="Q609">
        <v>25</v>
      </c>
      <c r="R609">
        <v>20</v>
      </c>
      <c r="S609">
        <v>0.12</v>
      </c>
    </row>
    <row r="610" spans="1:19" x14ac:dyDescent="0.25">
      <c r="A610">
        <v>1021</v>
      </c>
      <c r="B610">
        <v>2</v>
      </c>
      <c r="C610" t="s">
        <v>28</v>
      </c>
      <c r="D610">
        <v>4.57</v>
      </c>
      <c r="E610">
        <v>1.1000000000000001</v>
      </c>
      <c r="F610">
        <v>340</v>
      </c>
      <c r="G610">
        <v>101</v>
      </c>
      <c r="H610" t="s">
        <v>22</v>
      </c>
      <c r="I610" t="s">
        <v>22</v>
      </c>
      <c r="J610">
        <v>18600</v>
      </c>
      <c r="K610">
        <v>5</v>
      </c>
      <c r="L610" t="s">
        <v>22</v>
      </c>
      <c r="M610">
        <v>10.029999999999999</v>
      </c>
      <c r="N610" t="s">
        <v>29</v>
      </c>
      <c r="O610">
        <v>40</v>
      </c>
      <c r="P610">
        <v>100</v>
      </c>
      <c r="Q610">
        <v>25</v>
      </c>
      <c r="R610">
        <v>3</v>
      </c>
      <c r="S610">
        <v>0.05</v>
      </c>
    </row>
    <row r="611" spans="1:19" x14ac:dyDescent="0.25">
      <c r="A611">
        <v>1021</v>
      </c>
      <c r="B611">
        <v>2</v>
      </c>
      <c r="C611" t="s">
        <v>28</v>
      </c>
      <c r="D611">
        <v>4.57</v>
      </c>
      <c r="E611">
        <v>1.1000000000000001</v>
      </c>
      <c r="F611">
        <v>340</v>
      </c>
      <c r="G611">
        <v>101</v>
      </c>
      <c r="H611" t="s">
        <v>22</v>
      </c>
      <c r="I611" t="s">
        <v>22</v>
      </c>
      <c r="J611">
        <v>18600</v>
      </c>
      <c r="K611">
        <v>5</v>
      </c>
      <c r="L611" t="s">
        <v>22</v>
      </c>
      <c r="M611">
        <v>10.029999999999999</v>
      </c>
      <c r="N611" t="s">
        <v>29</v>
      </c>
      <c r="O611">
        <v>40</v>
      </c>
      <c r="P611">
        <v>100</v>
      </c>
      <c r="Q611">
        <v>25</v>
      </c>
      <c r="R611">
        <v>8</v>
      </c>
      <c r="S611">
        <v>0.01</v>
      </c>
    </row>
    <row r="612" spans="1:19" x14ac:dyDescent="0.25">
      <c r="A612">
        <v>1021</v>
      </c>
      <c r="B612">
        <v>2</v>
      </c>
      <c r="C612" t="s">
        <v>28</v>
      </c>
      <c r="D612">
        <v>4.57</v>
      </c>
      <c r="E612">
        <v>1.1000000000000001</v>
      </c>
      <c r="F612">
        <v>340</v>
      </c>
      <c r="G612">
        <v>101</v>
      </c>
      <c r="H612" t="s">
        <v>22</v>
      </c>
      <c r="I612" t="s">
        <v>22</v>
      </c>
      <c r="J612">
        <v>18600</v>
      </c>
      <c r="K612">
        <v>5</v>
      </c>
      <c r="L612" t="s">
        <v>22</v>
      </c>
      <c r="M612">
        <v>10.029999999999999</v>
      </c>
      <c r="N612" t="s">
        <v>29</v>
      </c>
      <c r="O612">
        <v>40</v>
      </c>
      <c r="P612">
        <v>100</v>
      </c>
      <c r="Q612">
        <v>25</v>
      </c>
      <c r="R612">
        <v>12</v>
      </c>
      <c r="S612">
        <v>0.22</v>
      </c>
    </row>
    <row r="613" spans="1:19" x14ac:dyDescent="0.25">
      <c r="A613">
        <v>1021</v>
      </c>
      <c r="B613">
        <v>2</v>
      </c>
      <c r="C613" t="s">
        <v>28</v>
      </c>
      <c r="D613">
        <v>4.57</v>
      </c>
      <c r="E613">
        <v>1.1000000000000001</v>
      </c>
      <c r="F613">
        <v>340</v>
      </c>
      <c r="G613">
        <v>101</v>
      </c>
      <c r="H613" t="s">
        <v>22</v>
      </c>
      <c r="I613" t="s">
        <v>22</v>
      </c>
      <c r="J613">
        <v>18600</v>
      </c>
      <c r="K613">
        <v>5</v>
      </c>
      <c r="L613" t="s">
        <v>22</v>
      </c>
      <c r="M613">
        <v>10.029999999999999</v>
      </c>
      <c r="N613" t="s">
        <v>29</v>
      </c>
      <c r="O613">
        <v>40</v>
      </c>
      <c r="P613">
        <v>100</v>
      </c>
      <c r="Q613">
        <v>25</v>
      </c>
      <c r="R613">
        <v>20</v>
      </c>
      <c r="S613">
        <v>0.27</v>
      </c>
    </row>
    <row r="614" spans="1:19" x14ac:dyDescent="0.25">
      <c r="A614">
        <v>1021</v>
      </c>
      <c r="B614">
        <v>2</v>
      </c>
      <c r="C614" t="s">
        <v>35</v>
      </c>
      <c r="D614">
        <v>5.18</v>
      </c>
      <c r="E614">
        <v>0.13200000000000001</v>
      </c>
      <c r="F614">
        <v>393</v>
      </c>
      <c r="G614">
        <v>150</v>
      </c>
      <c r="H614" t="s">
        <v>22</v>
      </c>
      <c r="I614" t="s">
        <v>22</v>
      </c>
      <c r="J614">
        <v>18600</v>
      </c>
      <c r="K614">
        <v>5</v>
      </c>
      <c r="L614" t="s">
        <v>22</v>
      </c>
      <c r="M614">
        <v>10.029999999999999</v>
      </c>
      <c r="N614" t="s">
        <v>32</v>
      </c>
      <c r="O614">
        <v>40</v>
      </c>
      <c r="P614">
        <v>100</v>
      </c>
      <c r="Q614">
        <v>25</v>
      </c>
      <c r="R614">
        <v>3</v>
      </c>
      <c r="S614">
        <v>0.06</v>
      </c>
    </row>
    <row r="615" spans="1:19" x14ac:dyDescent="0.25">
      <c r="A615">
        <v>1021</v>
      </c>
      <c r="B615">
        <v>2</v>
      </c>
      <c r="C615" t="s">
        <v>35</v>
      </c>
      <c r="D615">
        <v>5.18</v>
      </c>
      <c r="E615">
        <v>0.13200000000000001</v>
      </c>
      <c r="F615">
        <v>393</v>
      </c>
      <c r="G615">
        <v>150</v>
      </c>
      <c r="H615" t="s">
        <v>22</v>
      </c>
      <c r="I615" t="s">
        <v>22</v>
      </c>
      <c r="J615">
        <v>18600</v>
      </c>
      <c r="K615">
        <v>5</v>
      </c>
      <c r="L615" t="s">
        <v>22</v>
      </c>
      <c r="M615">
        <v>10.029999999999999</v>
      </c>
      <c r="N615" t="s">
        <v>32</v>
      </c>
      <c r="O615">
        <v>40</v>
      </c>
      <c r="P615">
        <v>100</v>
      </c>
      <c r="Q615">
        <v>25</v>
      </c>
      <c r="R615">
        <v>8</v>
      </c>
      <c r="S615">
        <v>0.05</v>
      </c>
    </row>
    <row r="616" spans="1:19" x14ac:dyDescent="0.25">
      <c r="A616">
        <v>1021</v>
      </c>
      <c r="B616">
        <v>2</v>
      </c>
      <c r="C616" t="s">
        <v>35</v>
      </c>
      <c r="D616">
        <v>5.18</v>
      </c>
      <c r="E616">
        <v>0.13200000000000001</v>
      </c>
      <c r="F616">
        <v>393</v>
      </c>
      <c r="G616">
        <v>150</v>
      </c>
      <c r="H616" t="s">
        <v>22</v>
      </c>
      <c r="I616" t="s">
        <v>22</v>
      </c>
      <c r="J616">
        <v>18600</v>
      </c>
      <c r="K616">
        <v>5</v>
      </c>
      <c r="L616" t="s">
        <v>22</v>
      </c>
      <c r="M616">
        <v>10.029999999999999</v>
      </c>
      <c r="N616" t="s">
        <v>32</v>
      </c>
      <c r="O616">
        <v>40</v>
      </c>
      <c r="P616">
        <v>100</v>
      </c>
      <c r="Q616">
        <v>25</v>
      </c>
      <c r="R616">
        <v>12</v>
      </c>
      <c r="S616">
        <v>0.23</v>
      </c>
    </row>
    <row r="617" spans="1:19" x14ac:dyDescent="0.25">
      <c r="A617">
        <v>1021</v>
      </c>
      <c r="B617">
        <v>2</v>
      </c>
      <c r="C617" t="s">
        <v>35</v>
      </c>
      <c r="D617">
        <v>5.18</v>
      </c>
      <c r="E617">
        <v>0.13200000000000001</v>
      </c>
      <c r="F617">
        <v>393</v>
      </c>
      <c r="G617">
        <v>150</v>
      </c>
      <c r="H617" t="s">
        <v>22</v>
      </c>
      <c r="I617" t="s">
        <v>22</v>
      </c>
      <c r="J617">
        <v>18600</v>
      </c>
      <c r="K617">
        <v>5</v>
      </c>
      <c r="L617" t="s">
        <v>22</v>
      </c>
      <c r="M617">
        <v>10.029999999999999</v>
      </c>
      <c r="N617" t="s">
        <v>32</v>
      </c>
      <c r="O617">
        <v>40</v>
      </c>
      <c r="P617">
        <v>100</v>
      </c>
      <c r="Q617">
        <v>25</v>
      </c>
      <c r="R617">
        <v>20</v>
      </c>
      <c r="S617">
        <v>0.27</v>
      </c>
    </row>
    <row r="618" spans="1:19" x14ac:dyDescent="0.25">
      <c r="A618">
        <v>1021</v>
      </c>
      <c r="B618">
        <v>2</v>
      </c>
      <c r="C618" t="s">
        <v>28</v>
      </c>
      <c r="D618">
        <v>4.57</v>
      </c>
      <c r="E618">
        <v>1.1000000000000001</v>
      </c>
      <c r="F618">
        <v>340</v>
      </c>
      <c r="G618">
        <v>101</v>
      </c>
      <c r="H618" t="s">
        <v>22</v>
      </c>
      <c r="I618" t="s">
        <v>22</v>
      </c>
      <c r="J618">
        <v>18600</v>
      </c>
      <c r="K618">
        <v>5</v>
      </c>
      <c r="L618" t="s">
        <v>22</v>
      </c>
      <c r="M618">
        <v>10.029999999999999</v>
      </c>
      <c r="N618" t="s">
        <v>29</v>
      </c>
      <c r="O618">
        <v>40</v>
      </c>
      <c r="P618">
        <v>100</v>
      </c>
      <c r="Q618">
        <v>25</v>
      </c>
      <c r="R618">
        <v>3</v>
      </c>
      <c r="S618">
        <v>0.04</v>
      </c>
    </row>
    <row r="619" spans="1:19" x14ac:dyDescent="0.25">
      <c r="A619">
        <v>1021</v>
      </c>
      <c r="B619">
        <v>2</v>
      </c>
      <c r="C619" t="s">
        <v>28</v>
      </c>
      <c r="D619">
        <v>4.57</v>
      </c>
      <c r="E619">
        <v>1.1000000000000001</v>
      </c>
      <c r="F619">
        <v>340</v>
      </c>
      <c r="G619">
        <v>101</v>
      </c>
      <c r="H619" t="s">
        <v>22</v>
      </c>
      <c r="I619" t="s">
        <v>22</v>
      </c>
      <c r="J619">
        <v>18600</v>
      </c>
      <c r="K619">
        <v>5</v>
      </c>
      <c r="L619" t="s">
        <v>22</v>
      </c>
      <c r="M619">
        <v>10.029999999999999</v>
      </c>
      <c r="N619" t="s">
        <v>29</v>
      </c>
      <c r="O619">
        <v>40</v>
      </c>
      <c r="P619">
        <v>100</v>
      </c>
      <c r="Q619">
        <v>25</v>
      </c>
      <c r="R619">
        <v>8</v>
      </c>
      <c r="S619">
        <v>0.02</v>
      </c>
    </row>
    <row r="620" spans="1:19" x14ac:dyDescent="0.25">
      <c r="A620">
        <v>1021</v>
      </c>
      <c r="B620">
        <v>2</v>
      </c>
      <c r="C620" t="s">
        <v>28</v>
      </c>
      <c r="D620">
        <v>4.57</v>
      </c>
      <c r="E620">
        <v>1.1000000000000001</v>
      </c>
      <c r="F620">
        <v>340</v>
      </c>
      <c r="G620">
        <v>101</v>
      </c>
      <c r="H620" t="s">
        <v>22</v>
      </c>
      <c r="I620" t="s">
        <v>22</v>
      </c>
      <c r="J620">
        <v>18600</v>
      </c>
      <c r="K620">
        <v>5</v>
      </c>
      <c r="L620" t="s">
        <v>22</v>
      </c>
      <c r="M620">
        <v>10.029999999999999</v>
      </c>
      <c r="N620" t="s">
        <v>29</v>
      </c>
      <c r="O620">
        <v>40</v>
      </c>
      <c r="P620">
        <v>100</v>
      </c>
      <c r="Q620">
        <v>25</v>
      </c>
      <c r="R620">
        <v>12</v>
      </c>
      <c r="S620">
        <v>0.25</v>
      </c>
    </row>
    <row r="621" spans="1:19" x14ac:dyDescent="0.25">
      <c r="A621">
        <v>1021</v>
      </c>
      <c r="B621">
        <v>2</v>
      </c>
      <c r="C621" t="s">
        <v>28</v>
      </c>
      <c r="D621">
        <v>4.57</v>
      </c>
      <c r="E621">
        <v>1.1000000000000001</v>
      </c>
      <c r="F621">
        <v>340</v>
      </c>
      <c r="G621">
        <v>101</v>
      </c>
      <c r="H621" t="s">
        <v>22</v>
      </c>
      <c r="I621" t="s">
        <v>22</v>
      </c>
      <c r="J621">
        <v>18600</v>
      </c>
      <c r="K621">
        <v>5</v>
      </c>
      <c r="L621" t="s">
        <v>22</v>
      </c>
      <c r="M621">
        <v>10.029999999999999</v>
      </c>
      <c r="N621" t="s">
        <v>29</v>
      </c>
      <c r="O621">
        <v>40</v>
      </c>
      <c r="P621">
        <v>100</v>
      </c>
      <c r="Q621">
        <v>25</v>
      </c>
      <c r="R621">
        <v>20</v>
      </c>
      <c r="S621">
        <v>0.46</v>
      </c>
    </row>
    <row r="622" spans="1:19" x14ac:dyDescent="0.25">
      <c r="A622">
        <v>1021</v>
      </c>
      <c r="B622">
        <v>2</v>
      </c>
      <c r="C622" t="s">
        <v>35</v>
      </c>
      <c r="D622">
        <v>5.18</v>
      </c>
      <c r="E622">
        <v>0.13200000000000001</v>
      </c>
      <c r="F622">
        <v>393</v>
      </c>
      <c r="G622">
        <v>150</v>
      </c>
      <c r="H622" t="s">
        <v>22</v>
      </c>
      <c r="I622" t="s">
        <v>22</v>
      </c>
      <c r="J622">
        <v>18600</v>
      </c>
      <c r="K622">
        <v>5</v>
      </c>
      <c r="L622" t="s">
        <v>22</v>
      </c>
      <c r="M622">
        <v>10.029999999999999</v>
      </c>
      <c r="N622" t="s">
        <v>32</v>
      </c>
      <c r="O622">
        <v>40</v>
      </c>
      <c r="P622">
        <v>100</v>
      </c>
      <c r="Q622">
        <v>25</v>
      </c>
      <c r="R622">
        <v>3</v>
      </c>
      <c r="S622">
        <v>7.0000000000000007E-2</v>
      </c>
    </row>
    <row r="623" spans="1:19" x14ac:dyDescent="0.25">
      <c r="A623">
        <v>1021</v>
      </c>
      <c r="B623">
        <v>2</v>
      </c>
      <c r="C623" t="s">
        <v>35</v>
      </c>
      <c r="D623">
        <v>5.18</v>
      </c>
      <c r="E623">
        <v>0.13200000000000001</v>
      </c>
      <c r="F623">
        <v>393</v>
      </c>
      <c r="G623">
        <v>150</v>
      </c>
      <c r="H623" t="s">
        <v>22</v>
      </c>
      <c r="I623" t="s">
        <v>22</v>
      </c>
      <c r="J623">
        <v>18600</v>
      </c>
      <c r="K623">
        <v>5</v>
      </c>
      <c r="L623" t="s">
        <v>22</v>
      </c>
      <c r="M623">
        <v>10.029999999999999</v>
      </c>
      <c r="N623" t="s">
        <v>32</v>
      </c>
      <c r="O623">
        <v>40</v>
      </c>
      <c r="P623">
        <v>100</v>
      </c>
      <c r="Q623">
        <v>25</v>
      </c>
      <c r="R623">
        <v>8</v>
      </c>
      <c r="S623">
        <v>6.5000000000000002E-2</v>
      </c>
    </row>
    <row r="624" spans="1:19" x14ac:dyDescent="0.25">
      <c r="A624">
        <v>1021</v>
      </c>
      <c r="B624">
        <v>2</v>
      </c>
      <c r="C624" t="s">
        <v>35</v>
      </c>
      <c r="D624">
        <v>5.18</v>
      </c>
      <c r="E624">
        <v>0.13200000000000001</v>
      </c>
      <c r="F624">
        <v>393</v>
      </c>
      <c r="G624">
        <v>150</v>
      </c>
      <c r="H624" t="s">
        <v>22</v>
      </c>
      <c r="I624" t="s">
        <v>22</v>
      </c>
      <c r="J624">
        <v>18600</v>
      </c>
      <c r="K624">
        <v>5</v>
      </c>
      <c r="L624" t="s">
        <v>22</v>
      </c>
      <c r="M624">
        <v>10.029999999999999</v>
      </c>
      <c r="N624" t="s">
        <v>32</v>
      </c>
      <c r="O624">
        <v>40</v>
      </c>
      <c r="P624">
        <v>100</v>
      </c>
      <c r="Q624">
        <v>25</v>
      </c>
      <c r="R624">
        <v>12</v>
      </c>
      <c r="S624">
        <v>0.25</v>
      </c>
    </row>
    <row r="625" spans="1:19" x14ac:dyDescent="0.25">
      <c r="A625">
        <v>1021</v>
      </c>
      <c r="B625">
        <v>2</v>
      </c>
      <c r="C625" t="s">
        <v>35</v>
      </c>
      <c r="D625">
        <v>5.18</v>
      </c>
      <c r="E625">
        <v>0.13200000000000001</v>
      </c>
      <c r="F625">
        <v>393</v>
      </c>
      <c r="G625">
        <v>150</v>
      </c>
      <c r="H625" t="s">
        <v>22</v>
      </c>
      <c r="I625" t="s">
        <v>22</v>
      </c>
      <c r="J625">
        <v>18600</v>
      </c>
      <c r="K625">
        <v>5</v>
      </c>
      <c r="L625" t="s">
        <v>22</v>
      </c>
      <c r="M625">
        <v>10.029999999999999</v>
      </c>
      <c r="N625" t="s">
        <v>32</v>
      </c>
      <c r="O625">
        <v>40</v>
      </c>
      <c r="P625">
        <v>100</v>
      </c>
      <c r="Q625">
        <v>25</v>
      </c>
      <c r="R625">
        <v>20</v>
      </c>
      <c r="S625">
        <v>0.49</v>
      </c>
    </row>
    <row r="626" spans="1:19" x14ac:dyDescent="0.25">
      <c r="A626">
        <v>1021</v>
      </c>
      <c r="B626">
        <v>2</v>
      </c>
      <c r="C626" t="s">
        <v>28</v>
      </c>
      <c r="D626">
        <v>4.57</v>
      </c>
      <c r="E626">
        <v>1.1000000000000001</v>
      </c>
      <c r="F626">
        <v>340</v>
      </c>
      <c r="G626">
        <v>101</v>
      </c>
      <c r="H626" t="s">
        <v>22</v>
      </c>
      <c r="I626" t="s">
        <v>22</v>
      </c>
      <c r="J626">
        <v>18600</v>
      </c>
      <c r="K626">
        <v>5</v>
      </c>
      <c r="L626" t="s">
        <v>22</v>
      </c>
      <c r="M626">
        <v>10.029999999999999</v>
      </c>
      <c r="N626" t="s">
        <v>29</v>
      </c>
      <c r="O626">
        <v>40</v>
      </c>
      <c r="P626">
        <v>100</v>
      </c>
      <c r="Q626">
        <v>25</v>
      </c>
      <c r="R626">
        <v>3</v>
      </c>
      <c r="S626">
        <v>7.0000000000000007E-2</v>
      </c>
    </row>
    <row r="627" spans="1:19" x14ac:dyDescent="0.25">
      <c r="A627">
        <v>1021</v>
      </c>
      <c r="B627">
        <v>2</v>
      </c>
      <c r="C627" t="s">
        <v>28</v>
      </c>
      <c r="D627">
        <v>4.57</v>
      </c>
      <c r="E627">
        <v>1.1000000000000001</v>
      </c>
      <c r="F627">
        <v>340</v>
      </c>
      <c r="G627">
        <v>101</v>
      </c>
      <c r="H627" t="s">
        <v>22</v>
      </c>
      <c r="I627" t="s">
        <v>22</v>
      </c>
      <c r="J627">
        <v>18600</v>
      </c>
      <c r="K627">
        <v>5</v>
      </c>
      <c r="L627" t="s">
        <v>22</v>
      </c>
      <c r="M627">
        <v>10.029999999999999</v>
      </c>
      <c r="N627" t="s">
        <v>29</v>
      </c>
      <c r="O627">
        <v>40</v>
      </c>
      <c r="P627">
        <v>100</v>
      </c>
      <c r="Q627">
        <v>25</v>
      </c>
      <c r="R627">
        <v>8</v>
      </c>
      <c r="S627">
        <v>0.19</v>
      </c>
    </row>
    <row r="628" spans="1:19" x14ac:dyDescent="0.25">
      <c r="A628">
        <v>1021</v>
      </c>
      <c r="B628">
        <v>2</v>
      </c>
      <c r="C628" t="s">
        <v>28</v>
      </c>
      <c r="D628">
        <v>4.57</v>
      </c>
      <c r="E628">
        <v>1.1000000000000001</v>
      </c>
      <c r="F628">
        <v>340</v>
      </c>
      <c r="G628">
        <v>101</v>
      </c>
      <c r="H628" t="s">
        <v>22</v>
      </c>
      <c r="I628" t="s">
        <v>22</v>
      </c>
      <c r="J628">
        <v>18600</v>
      </c>
      <c r="K628">
        <v>5</v>
      </c>
      <c r="L628" t="s">
        <v>22</v>
      </c>
      <c r="M628">
        <v>10.029999999999999</v>
      </c>
      <c r="N628" t="s">
        <v>29</v>
      </c>
      <c r="O628">
        <v>40</v>
      </c>
      <c r="P628">
        <v>100</v>
      </c>
      <c r="Q628">
        <v>25</v>
      </c>
      <c r="R628">
        <v>12</v>
      </c>
      <c r="S628">
        <v>0.34</v>
      </c>
    </row>
    <row r="629" spans="1:19" x14ac:dyDescent="0.25">
      <c r="A629">
        <v>1021</v>
      </c>
      <c r="B629">
        <v>2</v>
      </c>
      <c r="C629" t="s">
        <v>28</v>
      </c>
      <c r="D629">
        <v>4.57</v>
      </c>
      <c r="E629">
        <v>1.1000000000000001</v>
      </c>
      <c r="F629">
        <v>340</v>
      </c>
      <c r="G629">
        <v>101</v>
      </c>
      <c r="H629" t="s">
        <v>22</v>
      </c>
      <c r="I629" t="s">
        <v>22</v>
      </c>
      <c r="J629">
        <v>18600</v>
      </c>
      <c r="K629">
        <v>5</v>
      </c>
      <c r="L629" t="s">
        <v>22</v>
      </c>
      <c r="M629">
        <v>10.029999999999999</v>
      </c>
      <c r="N629" t="s">
        <v>29</v>
      </c>
      <c r="O629">
        <v>40</v>
      </c>
      <c r="P629">
        <v>100</v>
      </c>
      <c r="Q629">
        <v>25</v>
      </c>
      <c r="R629">
        <v>20</v>
      </c>
      <c r="S629">
        <v>0.47</v>
      </c>
    </row>
    <row r="630" spans="1:19" x14ac:dyDescent="0.25">
      <c r="A630">
        <v>1021</v>
      </c>
      <c r="B630">
        <v>2</v>
      </c>
      <c r="C630" t="s">
        <v>35</v>
      </c>
      <c r="D630">
        <v>5.18</v>
      </c>
      <c r="E630">
        <v>0.13200000000000001</v>
      </c>
      <c r="F630">
        <v>393</v>
      </c>
      <c r="G630">
        <v>150</v>
      </c>
      <c r="H630" t="s">
        <v>22</v>
      </c>
      <c r="I630" t="s">
        <v>22</v>
      </c>
      <c r="J630">
        <v>18600</v>
      </c>
      <c r="K630">
        <v>5</v>
      </c>
      <c r="L630" t="s">
        <v>22</v>
      </c>
      <c r="M630">
        <v>10.029999999999999</v>
      </c>
      <c r="N630" t="s">
        <v>32</v>
      </c>
      <c r="O630">
        <v>40</v>
      </c>
      <c r="P630">
        <v>100</v>
      </c>
      <c r="Q630">
        <v>25</v>
      </c>
      <c r="R630">
        <v>3</v>
      </c>
      <c r="S630">
        <v>0.12</v>
      </c>
    </row>
    <row r="631" spans="1:19" x14ac:dyDescent="0.25">
      <c r="A631">
        <v>1021</v>
      </c>
      <c r="B631">
        <v>3</v>
      </c>
      <c r="C631" t="s">
        <v>35</v>
      </c>
      <c r="D631">
        <v>5.18</v>
      </c>
      <c r="E631">
        <v>0.13200000000000001</v>
      </c>
      <c r="F631">
        <v>393</v>
      </c>
      <c r="G631">
        <v>150</v>
      </c>
      <c r="H631" t="s">
        <v>22</v>
      </c>
      <c r="I631" t="s">
        <v>22</v>
      </c>
      <c r="J631">
        <v>18600</v>
      </c>
      <c r="K631">
        <v>5</v>
      </c>
      <c r="L631" t="s">
        <v>22</v>
      </c>
      <c r="M631">
        <v>10.029999999999999</v>
      </c>
      <c r="N631" t="s">
        <v>32</v>
      </c>
      <c r="O631">
        <v>40</v>
      </c>
      <c r="P631">
        <v>100</v>
      </c>
      <c r="Q631">
        <v>25</v>
      </c>
      <c r="R631">
        <v>8</v>
      </c>
      <c r="S631">
        <v>0.17</v>
      </c>
    </row>
    <row r="632" spans="1:19" x14ac:dyDescent="0.25">
      <c r="A632">
        <v>1021</v>
      </c>
      <c r="B632">
        <v>3</v>
      </c>
      <c r="C632" t="s">
        <v>35</v>
      </c>
      <c r="D632">
        <v>5.18</v>
      </c>
      <c r="E632">
        <v>0.13200000000000001</v>
      </c>
      <c r="F632">
        <v>393</v>
      </c>
      <c r="G632">
        <v>150</v>
      </c>
      <c r="H632" t="s">
        <v>22</v>
      </c>
      <c r="I632" t="s">
        <v>22</v>
      </c>
      <c r="J632">
        <v>18600</v>
      </c>
      <c r="K632">
        <v>5</v>
      </c>
      <c r="L632" t="s">
        <v>22</v>
      </c>
      <c r="M632">
        <v>10.029999999999999</v>
      </c>
      <c r="N632" t="s">
        <v>32</v>
      </c>
      <c r="O632">
        <v>40</v>
      </c>
      <c r="P632">
        <v>100</v>
      </c>
      <c r="Q632">
        <v>25</v>
      </c>
      <c r="R632">
        <v>12</v>
      </c>
      <c r="S632">
        <v>0.27</v>
      </c>
    </row>
    <row r="633" spans="1:19" x14ac:dyDescent="0.25">
      <c r="A633">
        <v>1021</v>
      </c>
      <c r="B633">
        <v>4</v>
      </c>
      <c r="C633" t="s">
        <v>35</v>
      </c>
      <c r="D633">
        <v>5.18</v>
      </c>
      <c r="E633">
        <v>0.13200000000000001</v>
      </c>
      <c r="F633">
        <v>393</v>
      </c>
      <c r="G633">
        <v>150</v>
      </c>
      <c r="H633" t="s">
        <v>22</v>
      </c>
      <c r="I633" t="s">
        <v>22</v>
      </c>
      <c r="J633">
        <v>18600</v>
      </c>
      <c r="K633">
        <v>5</v>
      </c>
      <c r="L633" t="s">
        <v>22</v>
      </c>
      <c r="M633">
        <v>10.029999999999999</v>
      </c>
      <c r="N633" t="s">
        <v>32</v>
      </c>
      <c r="O633">
        <v>40</v>
      </c>
      <c r="P633">
        <v>100</v>
      </c>
      <c r="Q633">
        <v>25</v>
      </c>
      <c r="R633">
        <v>20</v>
      </c>
      <c r="S633">
        <v>0.44</v>
      </c>
    </row>
    <row r="634" spans="1:19" x14ac:dyDescent="0.25">
      <c r="A634">
        <v>1021</v>
      </c>
      <c r="B634">
        <v>5</v>
      </c>
      <c r="C634" t="s">
        <v>28</v>
      </c>
      <c r="D634">
        <v>4.57</v>
      </c>
      <c r="E634">
        <v>1.1000000000000001</v>
      </c>
      <c r="F634">
        <v>340</v>
      </c>
      <c r="G634">
        <v>101</v>
      </c>
      <c r="H634" t="s">
        <v>22</v>
      </c>
      <c r="I634" t="s">
        <v>22</v>
      </c>
      <c r="J634">
        <v>15900</v>
      </c>
      <c r="K634">
        <v>0.26</v>
      </c>
      <c r="L634" t="s">
        <v>22</v>
      </c>
      <c r="M634">
        <v>10.62</v>
      </c>
      <c r="N634" t="s">
        <v>29</v>
      </c>
      <c r="O634">
        <v>40</v>
      </c>
      <c r="P634">
        <v>100</v>
      </c>
      <c r="Q634">
        <v>25</v>
      </c>
      <c r="R634">
        <v>3</v>
      </c>
      <c r="S634">
        <v>0.19</v>
      </c>
    </row>
    <row r="635" spans="1:19" x14ac:dyDescent="0.25">
      <c r="A635">
        <v>1021</v>
      </c>
      <c r="B635">
        <v>5</v>
      </c>
      <c r="C635" t="s">
        <v>28</v>
      </c>
      <c r="D635">
        <v>4.57</v>
      </c>
      <c r="E635">
        <v>1.1000000000000001</v>
      </c>
      <c r="F635">
        <v>340</v>
      </c>
      <c r="G635">
        <v>101</v>
      </c>
      <c r="H635" t="s">
        <v>22</v>
      </c>
      <c r="I635" t="s">
        <v>22</v>
      </c>
      <c r="J635">
        <v>15900</v>
      </c>
      <c r="K635">
        <v>0.26</v>
      </c>
      <c r="L635" t="s">
        <v>22</v>
      </c>
      <c r="M635">
        <v>10.62</v>
      </c>
      <c r="N635" t="s">
        <v>29</v>
      </c>
      <c r="O635">
        <v>40</v>
      </c>
      <c r="P635">
        <v>100</v>
      </c>
      <c r="Q635">
        <v>25</v>
      </c>
      <c r="R635">
        <v>8</v>
      </c>
      <c r="S635">
        <v>0.22</v>
      </c>
    </row>
    <row r="636" spans="1:19" x14ac:dyDescent="0.25">
      <c r="A636">
        <v>1021</v>
      </c>
      <c r="B636">
        <v>5</v>
      </c>
      <c r="C636" t="s">
        <v>28</v>
      </c>
      <c r="D636">
        <v>4.57</v>
      </c>
      <c r="E636">
        <v>1.1000000000000001</v>
      </c>
      <c r="F636">
        <v>340</v>
      </c>
      <c r="G636">
        <v>101</v>
      </c>
      <c r="H636" t="s">
        <v>22</v>
      </c>
      <c r="I636" t="s">
        <v>22</v>
      </c>
      <c r="J636">
        <v>15900</v>
      </c>
      <c r="K636">
        <v>0.26</v>
      </c>
      <c r="L636" t="s">
        <v>22</v>
      </c>
      <c r="M636">
        <v>10.62</v>
      </c>
      <c r="N636" t="s">
        <v>29</v>
      </c>
      <c r="O636">
        <v>40</v>
      </c>
      <c r="P636">
        <v>100</v>
      </c>
      <c r="Q636">
        <v>25</v>
      </c>
      <c r="R636">
        <v>12</v>
      </c>
      <c r="S636">
        <v>0.33</v>
      </c>
    </row>
    <row r="637" spans="1:19" x14ac:dyDescent="0.25">
      <c r="A637">
        <v>1021</v>
      </c>
      <c r="B637">
        <v>5</v>
      </c>
      <c r="C637" t="s">
        <v>28</v>
      </c>
      <c r="D637">
        <v>4.57</v>
      </c>
      <c r="E637">
        <v>1.1000000000000001</v>
      </c>
      <c r="F637">
        <v>340</v>
      </c>
      <c r="G637">
        <v>101</v>
      </c>
      <c r="H637" t="s">
        <v>22</v>
      </c>
      <c r="I637" t="s">
        <v>22</v>
      </c>
      <c r="J637">
        <v>15900</v>
      </c>
      <c r="K637">
        <v>0.26</v>
      </c>
      <c r="L637" t="s">
        <v>22</v>
      </c>
      <c r="M637">
        <v>10.62</v>
      </c>
      <c r="N637" t="s">
        <v>29</v>
      </c>
      <c r="O637">
        <v>40</v>
      </c>
      <c r="P637">
        <v>100</v>
      </c>
      <c r="Q637">
        <v>25</v>
      </c>
      <c r="R637">
        <v>20</v>
      </c>
      <c r="S637">
        <v>0.68759999999999999</v>
      </c>
    </row>
    <row r="638" spans="1:19" x14ac:dyDescent="0.25">
      <c r="A638">
        <v>1021</v>
      </c>
      <c r="B638">
        <v>5</v>
      </c>
      <c r="C638" t="s">
        <v>35</v>
      </c>
      <c r="D638">
        <v>5.18</v>
      </c>
      <c r="E638">
        <v>0.13200000000000001</v>
      </c>
      <c r="F638">
        <v>393</v>
      </c>
      <c r="G638">
        <v>150</v>
      </c>
      <c r="H638" t="s">
        <v>22</v>
      </c>
      <c r="I638" t="s">
        <v>22</v>
      </c>
      <c r="J638">
        <v>15900</v>
      </c>
      <c r="K638">
        <v>0.26</v>
      </c>
      <c r="L638" t="s">
        <v>22</v>
      </c>
      <c r="M638">
        <v>10.62</v>
      </c>
      <c r="N638" t="s">
        <v>32</v>
      </c>
      <c r="O638">
        <v>40</v>
      </c>
      <c r="P638">
        <v>100</v>
      </c>
      <c r="Q638">
        <v>25</v>
      </c>
      <c r="R638">
        <v>3</v>
      </c>
      <c r="S638">
        <v>0.09</v>
      </c>
    </row>
    <row r="639" spans="1:19" x14ac:dyDescent="0.25">
      <c r="A639">
        <v>1021</v>
      </c>
      <c r="B639">
        <v>5</v>
      </c>
      <c r="C639" t="s">
        <v>35</v>
      </c>
      <c r="D639">
        <v>5.18</v>
      </c>
      <c r="E639">
        <v>0.13200000000000001</v>
      </c>
      <c r="F639">
        <v>393</v>
      </c>
      <c r="G639">
        <v>150</v>
      </c>
      <c r="H639" t="s">
        <v>22</v>
      </c>
      <c r="I639" t="s">
        <v>22</v>
      </c>
      <c r="J639">
        <v>15900</v>
      </c>
      <c r="K639">
        <v>0.26</v>
      </c>
      <c r="L639" t="s">
        <v>22</v>
      </c>
      <c r="M639">
        <v>10.62</v>
      </c>
      <c r="N639" t="s">
        <v>32</v>
      </c>
      <c r="O639">
        <v>40</v>
      </c>
      <c r="P639">
        <v>100</v>
      </c>
      <c r="Q639">
        <v>25</v>
      </c>
      <c r="R639">
        <v>8</v>
      </c>
      <c r="S639">
        <v>0.08</v>
      </c>
    </row>
    <row r="640" spans="1:19" x14ac:dyDescent="0.25">
      <c r="A640">
        <v>1021</v>
      </c>
      <c r="B640">
        <v>5</v>
      </c>
      <c r="C640" t="s">
        <v>35</v>
      </c>
      <c r="D640">
        <v>5.18</v>
      </c>
      <c r="E640">
        <v>0.13200000000000001</v>
      </c>
      <c r="F640">
        <v>393</v>
      </c>
      <c r="G640">
        <v>150</v>
      </c>
      <c r="H640" t="s">
        <v>22</v>
      </c>
      <c r="I640" t="s">
        <v>22</v>
      </c>
      <c r="J640">
        <v>15900</v>
      </c>
      <c r="K640">
        <v>0.26</v>
      </c>
      <c r="L640" t="s">
        <v>22</v>
      </c>
      <c r="M640">
        <v>10.62</v>
      </c>
      <c r="N640" t="s">
        <v>32</v>
      </c>
      <c r="O640">
        <v>40</v>
      </c>
      <c r="P640">
        <v>100</v>
      </c>
      <c r="Q640">
        <v>25</v>
      </c>
      <c r="R640">
        <v>12</v>
      </c>
      <c r="S640">
        <v>0.27</v>
      </c>
    </row>
    <row r="641" spans="1:19" x14ac:dyDescent="0.25">
      <c r="A641">
        <v>1021</v>
      </c>
      <c r="B641">
        <v>5</v>
      </c>
      <c r="C641" t="s">
        <v>35</v>
      </c>
      <c r="D641">
        <v>5.18</v>
      </c>
      <c r="E641">
        <v>0.13200000000000001</v>
      </c>
      <c r="F641">
        <v>393</v>
      </c>
      <c r="G641">
        <v>150</v>
      </c>
      <c r="H641" t="s">
        <v>22</v>
      </c>
      <c r="I641" t="s">
        <v>22</v>
      </c>
      <c r="J641">
        <v>15900</v>
      </c>
      <c r="K641">
        <v>0.26</v>
      </c>
      <c r="L641" t="s">
        <v>22</v>
      </c>
      <c r="M641">
        <v>10.62</v>
      </c>
      <c r="N641" t="s">
        <v>32</v>
      </c>
      <c r="O641">
        <v>40</v>
      </c>
      <c r="P641">
        <v>100</v>
      </c>
      <c r="Q641">
        <v>25</v>
      </c>
      <c r="R641">
        <v>20</v>
      </c>
      <c r="S641">
        <v>0.49</v>
      </c>
    </row>
    <row r="642" spans="1:19" x14ac:dyDescent="0.25">
      <c r="A642">
        <v>1021</v>
      </c>
      <c r="B642">
        <v>6</v>
      </c>
      <c r="C642" t="s">
        <v>28</v>
      </c>
      <c r="D642">
        <v>4.57</v>
      </c>
      <c r="E642">
        <v>1.1000000000000001</v>
      </c>
      <c r="F642">
        <v>340</v>
      </c>
      <c r="G642">
        <v>101</v>
      </c>
      <c r="H642" t="s">
        <v>22</v>
      </c>
      <c r="I642" t="s">
        <v>22</v>
      </c>
      <c r="J642">
        <v>15900</v>
      </c>
      <c r="K642">
        <v>0.26</v>
      </c>
      <c r="L642" t="s">
        <v>22</v>
      </c>
      <c r="M642">
        <v>10.62</v>
      </c>
      <c r="N642" t="s">
        <v>29</v>
      </c>
      <c r="O642">
        <v>40</v>
      </c>
      <c r="P642">
        <v>100</v>
      </c>
      <c r="Q642">
        <v>25</v>
      </c>
      <c r="R642">
        <v>3</v>
      </c>
      <c r="S642">
        <v>0.1769</v>
      </c>
    </row>
    <row r="643" spans="1:19" x14ac:dyDescent="0.25">
      <c r="A643">
        <v>1021</v>
      </c>
      <c r="B643">
        <v>6</v>
      </c>
      <c r="C643" t="s">
        <v>28</v>
      </c>
      <c r="D643">
        <v>4.57</v>
      </c>
      <c r="E643">
        <v>1.1000000000000001</v>
      </c>
      <c r="F643">
        <v>340</v>
      </c>
      <c r="G643">
        <v>101</v>
      </c>
      <c r="H643" t="s">
        <v>22</v>
      </c>
      <c r="I643" t="s">
        <v>22</v>
      </c>
      <c r="J643">
        <v>15900</v>
      </c>
      <c r="K643">
        <v>0.26</v>
      </c>
      <c r="L643" t="s">
        <v>22</v>
      </c>
      <c r="M643">
        <v>10.62</v>
      </c>
      <c r="N643" t="s">
        <v>29</v>
      </c>
      <c r="O643">
        <v>40</v>
      </c>
      <c r="P643">
        <v>100</v>
      </c>
      <c r="Q643">
        <v>25</v>
      </c>
      <c r="R643">
        <v>8</v>
      </c>
      <c r="S643">
        <v>0.24379999999999999</v>
      </c>
    </row>
    <row r="644" spans="1:19" x14ac:dyDescent="0.25">
      <c r="A644">
        <v>1021</v>
      </c>
      <c r="B644">
        <v>6</v>
      </c>
      <c r="C644" t="s">
        <v>28</v>
      </c>
      <c r="D644">
        <v>4.57</v>
      </c>
      <c r="E644">
        <v>1.1000000000000001</v>
      </c>
      <c r="F644">
        <v>340</v>
      </c>
      <c r="G644">
        <v>101</v>
      </c>
      <c r="H644" t="s">
        <v>22</v>
      </c>
      <c r="I644" t="s">
        <v>22</v>
      </c>
      <c r="J644">
        <v>15900</v>
      </c>
      <c r="K644">
        <v>0.26</v>
      </c>
      <c r="L644" t="s">
        <v>22</v>
      </c>
      <c r="M644">
        <v>10.62</v>
      </c>
      <c r="N644" t="s">
        <v>29</v>
      </c>
      <c r="O644">
        <v>40</v>
      </c>
      <c r="P644">
        <v>100</v>
      </c>
      <c r="Q644">
        <v>25</v>
      </c>
      <c r="R644">
        <v>12</v>
      </c>
      <c r="S644">
        <v>0.47389999999999999</v>
      </c>
    </row>
    <row r="645" spans="1:19" x14ac:dyDescent="0.25">
      <c r="A645">
        <v>1021</v>
      </c>
      <c r="B645">
        <v>6</v>
      </c>
      <c r="C645" t="s">
        <v>28</v>
      </c>
      <c r="D645">
        <v>4.57</v>
      </c>
      <c r="E645">
        <v>1.1000000000000001</v>
      </c>
      <c r="F645">
        <v>340</v>
      </c>
      <c r="G645">
        <v>101</v>
      </c>
      <c r="H645" t="s">
        <v>22</v>
      </c>
      <c r="I645" t="s">
        <v>22</v>
      </c>
      <c r="J645">
        <v>15900</v>
      </c>
      <c r="K645">
        <v>0.26</v>
      </c>
      <c r="L645" t="s">
        <v>22</v>
      </c>
      <c r="M645">
        <v>10.62</v>
      </c>
      <c r="N645" t="s">
        <v>29</v>
      </c>
      <c r="O645">
        <v>40</v>
      </c>
      <c r="P645">
        <v>100</v>
      </c>
      <c r="Q645">
        <v>25</v>
      </c>
      <c r="R645">
        <v>20</v>
      </c>
      <c r="S645">
        <v>0.54</v>
      </c>
    </row>
    <row r="646" spans="1:19" x14ac:dyDescent="0.25">
      <c r="A646">
        <v>1021</v>
      </c>
      <c r="B646">
        <v>6</v>
      </c>
      <c r="C646" t="s">
        <v>35</v>
      </c>
      <c r="D646">
        <v>5.18</v>
      </c>
      <c r="E646">
        <v>0.13200000000000001</v>
      </c>
      <c r="F646">
        <v>393</v>
      </c>
      <c r="G646">
        <v>150</v>
      </c>
      <c r="H646" t="s">
        <v>22</v>
      </c>
      <c r="I646" t="s">
        <v>22</v>
      </c>
      <c r="J646">
        <v>15900</v>
      </c>
      <c r="K646">
        <v>0.26</v>
      </c>
      <c r="L646" t="s">
        <v>22</v>
      </c>
      <c r="M646">
        <v>10.62</v>
      </c>
      <c r="N646" t="s">
        <v>32</v>
      </c>
      <c r="O646">
        <v>40</v>
      </c>
      <c r="P646">
        <v>100</v>
      </c>
      <c r="Q646">
        <v>25</v>
      </c>
      <c r="R646">
        <v>3</v>
      </c>
      <c r="S646">
        <v>0.13</v>
      </c>
    </row>
    <row r="647" spans="1:19" x14ac:dyDescent="0.25">
      <c r="A647">
        <v>1021</v>
      </c>
      <c r="B647">
        <v>6</v>
      </c>
      <c r="C647" t="s">
        <v>35</v>
      </c>
      <c r="D647">
        <v>5.18</v>
      </c>
      <c r="E647">
        <v>0.13200000000000001</v>
      </c>
      <c r="F647">
        <v>393</v>
      </c>
      <c r="G647">
        <v>150</v>
      </c>
      <c r="H647" t="s">
        <v>22</v>
      </c>
      <c r="I647" t="s">
        <v>22</v>
      </c>
      <c r="J647">
        <v>15900</v>
      </c>
      <c r="K647">
        <v>0.26</v>
      </c>
      <c r="L647" t="s">
        <v>22</v>
      </c>
      <c r="M647">
        <v>10.62</v>
      </c>
      <c r="N647" t="s">
        <v>32</v>
      </c>
      <c r="O647">
        <v>40</v>
      </c>
      <c r="P647">
        <v>100</v>
      </c>
      <c r="Q647">
        <v>25</v>
      </c>
      <c r="R647">
        <v>8</v>
      </c>
      <c r="S647">
        <v>0.15</v>
      </c>
    </row>
    <row r="648" spans="1:19" x14ac:dyDescent="0.25">
      <c r="A648">
        <v>1021</v>
      </c>
      <c r="B648">
        <v>6</v>
      </c>
      <c r="C648" t="s">
        <v>35</v>
      </c>
      <c r="D648">
        <v>5.18</v>
      </c>
      <c r="E648">
        <v>0.13200000000000001</v>
      </c>
      <c r="F648">
        <v>393</v>
      </c>
      <c r="G648">
        <v>150</v>
      </c>
      <c r="H648" t="s">
        <v>22</v>
      </c>
      <c r="I648" t="s">
        <v>22</v>
      </c>
      <c r="J648">
        <v>15900</v>
      </c>
      <c r="K648">
        <v>0.26</v>
      </c>
      <c r="L648" t="s">
        <v>22</v>
      </c>
      <c r="M648">
        <v>10.62</v>
      </c>
      <c r="N648" t="s">
        <v>32</v>
      </c>
      <c r="O648">
        <v>40</v>
      </c>
      <c r="P648">
        <v>100</v>
      </c>
      <c r="Q648">
        <v>25</v>
      </c>
      <c r="R648">
        <v>12</v>
      </c>
      <c r="S648">
        <v>0.35</v>
      </c>
    </row>
    <row r="649" spans="1:19" x14ac:dyDescent="0.25">
      <c r="A649">
        <v>1021</v>
      </c>
      <c r="B649">
        <v>6</v>
      </c>
      <c r="C649" t="s">
        <v>35</v>
      </c>
      <c r="D649">
        <v>5.18</v>
      </c>
      <c r="E649">
        <v>0.13200000000000001</v>
      </c>
      <c r="F649">
        <v>393</v>
      </c>
      <c r="G649">
        <v>150</v>
      </c>
      <c r="H649" t="s">
        <v>22</v>
      </c>
      <c r="I649" t="s">
        <v>22</v>
      </c>
      <c r="J649">
        <v>15900</v>
      </c>
      <c r="K649">
        <v>0.26</v>
      </c>
      <c r="L649" t="s">
        <v>22</v>
      </c>
      <c r="M649">
        <v>10.62</v>
      </c>
      <c r="N649" t="s">
        <v>32</v>
      </c>
      <c r="O649">
        <v>40</v>
      </c>
      <c r="P649">
        <v>100</v>
      </c>
      <c r="Q649">
        <v>25</v>
      </c>
      <c r="R649">
        <v>20</v>
      </c>
      <c r="S649">
        <v>0.50049999999999994</v>
      </c>
    </row>
    <row r="650" spans="1:19" x14ac:dyDescent="0.25">
      <c r="A650">
        <v>1021</v>
      </c>
      <c r="B650">
        <v>7</v>
      </c>
      <c r="C650" t="s">
        <v>28</v>
      </c>
      <c r="D650">
        <v>4.57</v>
      </c>
      <c r="E650">
        <v>1.1000000000000001</v>
      </c>
      <c r="F650">
        <v>340</v>
      </c>
      <c r="G650">
        <v>101</v>
      </c>
      <c r="H650" t="s">
        <v>22</v>
      </c>
      <c r="I650" t="s">
        <v>22</v>
      </c>
      <c r="J650">
        <v>15900</v>
      </c>
      <c r="K650">
        <v>0.26</v>
      </c>
      <c r="L650" t="s">
        <v>22</v>
      </c>
      <c r="M650">
        <v>10.62</v>
      </c>
      <c r="N650" t="s">
        <v>29</v>
      </c>
      <c r="O650">
        <v>40</v>
      </c>
      <c r="P650">
        <v>100</v>
      </c>
      <c r="Q650">
        <v>25</v>
      </c>
      <c r="R650">
        <v>3</v>
      </c>
      <c r="S650">
        <v>0.15559999999999999</v>
      </c>
    </row>
    <row r="651" spans="1:19" x14ac:dyDescent="0.25">
      <c r="A651">
        <v>1021</v>
      </c>
      <c r="B651">
        <v>7</v>
      </c>
      <c r="C651" t="s">
        <v>28</v>
      </c>
      <c r="D651">
        <v>4.57</v>
      </c>
      <c r="E651">
        <v>1.1000000000000001</v>
      </c>
      <c r="F651">
        <v>340</v>
      </c>
      <c r="G651">
        <v>101</v>
      </c>
      <c r="H651" t="s">
        <v>22</v>
      </c>
      <c r="I651" t="s">
        <v>22</v>
      </c>
      <c r="J651">
        <v>15900</v>
      </c>
      <c r="K651">
        <v>0.26</v>
      </c>
      <c r="L651" t="s">
        <v>22</v>
      </c>
      <c r="M651">
        <v>10.62</v>
      </c>
      <c r="N651" t="s">
        <v>29</v>
      </c>
      <c r="O651">
        <v>40</v>
      </c>
      <c r="P651">
        <v>100</v>
      </c>
      <c r="Q651">
        <v>25</v>
      </c>
      <c r="R651">
        <v>8</v>
      </c>
      <c r="S651">
        <v>0.24160000000000001</v>
      </c>
    </row>
    <row r="652" spans="1:19" x14ac:dyDescent="0.25">
      <c r="A652">
        <v>1021</v>
      </c>
      <c r="B652">
        <v>7</v>
      </c>
      <c r="C652" t="s">
        <v>28</v>
      </c>
      <c r="D652">
        <v>4.57</v>
      </c>
      <c r="E652">
        <v>1.1000000000000001</v>
      </c>
      <c r="F652">
        <v>340</v>
      </c>
      <c r="G652">
        <v>101</v>
      </c>
      <c r="H652" t="s">
        <v>22</v>
      </c>
      <c r="I652" t="s">
        <v>22</v>
      </c>
      <c r="J652">
        <v>15900</v>
      </c>
      <c r="K652">
        <v>0.26</v>
      </c>
      <c r="L652" t="s">
        <v>22</v>
      </c>
      <c r="M652">
        <v>10.62</v>
      </c>
      <c r="N652" t="s">
        <v>29</v>
      </c>
      <c r="O652">
        <v>40</v>
      </c>
      <c r="P652">
        <v>100</v>
      </c>
      <c r="Q652">
        <v>25</v>
      </c>
      <c r="R652">
        <v>12</v>
      </c>
      <c r="S652">
        <v>0.43609999999999999</v>
      </c>
    </row>
    <row r="653" spans="1:19" x14ac:dyDescent="0.25">
      <c r="A653">
        <v>1021</v>
      </c>
      <c r="B653">
        <v>7</v>
      </c>
      <c r="C653" t="s">
        <v>28</v>
      </c>
      <c r="D653">
        <v>4.57</v>
      </c>
      <c r="E653">
        <v>1.1000000000000001</v>
      </c>
      <c r="F653">
        <v>340</v>
      </c>
      <c r="G653">
        <v>101</v>
      </c>
      <c r="H653" t="s">
        <v>22</v>
      </c>
      <c r="I653" t="s">
        <v>22</v>
      </c>
      <c r="J653">
        <v>15900</v>
      </c>
      <c r="K653">
        <v>0.26</v>
      </c>
      <c r="L653" t="s">
        <v>22</v>
      </c>
      <c r="M653">
        <v>10.62</v>
      </c>
      <c r="N653" t="s">
        <v>29</v>
      </c>
      <c r="O653">
        <v>40</v>
      </c>
      <c r="P653">
        <v>100</v>
      </c>
      <c r="Q653">
        <v>25</v>
      </c>
      <c r="R653">
        <v>20</v>
      </c>
      <c r="S653">
        <v>0.49</v>
      </c>
    </row>
    <row r="654" spans="1:19" x14ac:dyDescent="0.25">
      <c r="A654">
        <v>1021</v>
      </c>
      <c r="B654">
        <v>7</v>
      </c>
      <c r="C654" t="s">
        <v>35</v>
      </c>
      <c r="D654">
        <v>5.18</v>
      </c>
      <c r="E654">
        <v>0.13200000000000001</v>
      </c>
      <c r="F654">
        <v>393</v>
      </c>
      <c r="G654">
        <v>150</v>
      </c>
      <c r="H654" t="s">
        <v>22</v>
      </c>
      <c r="I654" t="s">
        <v>22</v>
      </c>
      <c r="J654">
        <v>15900</v>
      </c>
      <c r="K654">
        <v>0.26</v>
      </c>
      <c r="L654" t="s">
        <v>22</v>
      </c>
      <c r="M654">
        <v>10.62</v>
      </c>
      <c r="N654" t="s">
        <v>32</v>
      </c>
      <c r="O654">
        <v>40</v>
      </c>
      <c r="P654">
        <v>100</v>
      </c>
      <c r="Q654">
        <v>25</v>
      </c>
      <c r="R654">
        <v>3</v>
      </c>
      <c r="S654">
        <v>0.09</v>
      </c>
    </row>
    <row r="655" spans="1:19" x14ac:dyDescent="0.25">
      <c r="A655">
        <v>1021</v>
      </c>
      <c r="B655">
        <v>7</v>
      </c>
      <c r="C655" t="s">
        <v>35</v>
      </c>
      <c r="D655">
        <v>5.18</v>
      </c>
      <c r="E655">
        <v>0.13200000000000001</v>
      </c>
      <c r="F655">
        <v>393</v>
      </c>
      <c r="G655">
        <v>150</v>
      </c>
      <c r="H655" t="s">
        <v>22</v>
      </c>
      <c r="I655" t="s">
        <v>22</v>
      </c>
      <c r="J655">
        <v>15900</v>
      </c>
      <c r="K655">
        <v>0.26</v>
      </c>
      <c r="L655" t="s">
        <v>22</v>
      </c>
      <c r="M655">
        <v>10.62</v>
      </c>
      <c r="N655" t="s">
        <v>32</v>
      </c>
      <c r="O655">
        <v>40</v>
      </c>
      <c r="P655">
        <v>100</v>
      </c>
      <c r="Q655">
        <v>25</v>
      </c>
      <c r="R655">
        <v>8</v>
      </c>
      <c r="S655">
        <v>0.13</v>
      </c>
    </row>
    <row r="656" spans="1:19" x14ac:dyDescent="0.25">
      <c r="A656">
        <v>1021</v>
      </c>
      <c r="B656">
        <v>7</v>
      </c>
      <c r="C656" t="s">
        <v>35</v>
      </c>
      <c r="D656">
        <v>5.18</v>
      </c>
      <c r="E656">
        <v>0.13200000000000001</v>
      </c>
      <c r="F656">
        <v>393</v>
      </c>
      <c r="G656">
        <v>150</v>
      </c>
      <c r="H656" t="s">
        <v>22</v>
      </c>
      <c r="I656" t="s">
        <v>22</v>
      </c>
      <c r="J656">
        <v>15900</v>
      </c>
      <c r="K656">
        <v>0.26</v>
      </c>
      <c r="L656" t="s">
        <v>22</v>
      </c>
      <c r="M656">
        <v>10.62</v>
      </c>
      <c r="N656" t="s">
        <v>32</v>
      </c>
      <c r="O656">
        <v>40</v>
      </c>
      <c r="P656">
        <v>100</v>
      </c>
      <c r="Q656">
        <v>25</v>
      </c>
      <c r="R656">
        <v>12</v>
      </c>
      <c r="S656">
        <v>0.33</v>
      </c>
    </row>
    <row r="657" spans="1:19" x14ac:dyDescent="0.25">
      <c r="A657">
        <v>1021</v>
      </c>
      <c r="B657">
        <v>7</v>
      </c>
      <c r="C657" t="s">
        <v>35</v>
      </c>
      <c r="D657">
        <v>5.18</v>
      </c>
      <c r="E657">
        <v>0.13200000000000001</v>
      </c>
      <c r="F657">
        <v>393</v>
      </c>
      <c r="G657">
        <v>150</v>
      </c>
      <c r="H657" t="s">
        <v>22</v>
      </c>
      <c r="I657" t="s">
        <v>22</v>
      </c>
      <c r="J657">
        <v>15900</v>
      </c>
      <c r="K657">
        <v>0.26</v>
      </c>
      <c r="L657" t="s">
        <v>22</v>
      </c>
      <c r="M657">
        <v>10.62</v>
      </c>
      <c r="N657" t="s">
        <v>32</v>
      </c>
      <c r="O657">
        <v>40</v>
      </c>
      <c r="P657">
        <v>100</v>
      </c>
      <c r="Q657">
        <v>25</v>
      </c>
      <c r="R657">
        <v>20</v>
      </c>
      <c r="S657">
        <v>0.41020000000000001</v>
      </c>
    </row>
    <row r="658" spans="1:19" x14ac:dyDescent="0.25">
      <c r="A658">
        <v>1021</v>
      </c>
      <c r="B658">
        <v>8</v>
      </c>
      <c r="C658" t="s">
        <v>28</v>
      </c>
      <c r="D658">
        <v>4.57</v>
      </c>
      <c r="E658">
        <v>1.1000000000000001</v>
      </c>
      <c r="F658">
        <v>340</v>
      </c>
      <c r="G658">
        <v>101</v>
      </c>
      <c r="H658" t="s">
        <v>22</v>
      </c>
      <c r="I658" t="s">
        <v>22</v>
      </c>
      <c r="J658">
        <v>15900</v>
      </c>
      <c r="K658">
        <v>0.26</v>
      </c>
      <c r="L658" t="s">
        <v>22</v>
      </c>
      <c r="M658">
        <v>10.62</v>
      </c>
      <c r="N658" t="s">
        <v>29</v>
      </c>
      <c r="O658">
        <v>40</v>
      </c>
      <c r="P658">
        <v>100</v>
      </c>
      <c r="Q658">
        <v>25</v>
      </c>
      <c r="R658">
        <v>3</v>
      </c>
      <c r="S658">
        <v>0.22520000000000001</v>
      </c>
    </row>
    <row r="659" spans="1:19" x14ac:dyDescent="0.25">
      <c r="A659">
        <v>1021</v>
      </c>
      <c r="B659">
        <v>8</v>
      </c>
      <c r="C659" t="s">
        <v>28</v>
      </c>
      <c r="D659">
        <v>4.57</v>
      </c>
      <c r="E659">
        <v>1.1000000000000001</v>
      </c>
      <c r="F659">
        <v>340</v>
      </c>
      <c r="G659">
        <v>101</v>
      </c>
      <c r="H659" t="s">
        <v>22</v>
      </c>
      <c r="I659" t="s">
        <v>22</v>
      </c>
      <c r="J659">
        <v>15900</v>
      </c>
      <c r="K659">
        <v>0.26</v>
      </c>
      <c r="L659" t="s">
        <v>22</v>
      </c>
      <c r="M659">
        <v>10.62</v>
      </c>
      <c r="N659" t="s">
        <v>29</v>
      </c>
      <c r="O659">
        <v>40</v>
      </c>
      <c r="P659">
        <v>100</v>
      </c>
      <c r="Q659">
        <v>25</v>
      </c>
      <c r="R659">
        <v>8</v>
      </c>
      <c r="S659">
        <v>0.28210000000000002</v>
      </c>
    </row>
    <row r="660" spans="1:19" x14ac:dyDescent="0.25">
      <c r="A660">
        <v>1021</v>
      </c>
      <c r="B660">
        <v>8</v>
      </c>
      <c r="C660" t="s">
        <v>28</v>
      </c>
      <c r="D660">
        <v>4.57</v>
      </c>
      <c r="E660">
        <v>1.1000000000000001</v>
      </c>
      <c r="F660">
        <v>340</v>
      </c>
      <c r="G660">
        <v>101</v>
      </c>
      <c r="H660" t="s">
        <v>22</v>
      </c>
      <c r="I660" t="s">
        <v>22</v>
      </c>
      <c r="J660">
        <v>15900</v>
      </c>
      <c r="K660">
        <v>0.26</v>
      </c>
      <c r="L660" t="s">
        <v>22</v>
      </c>
      <c r="M660">
        <v>10.62</v>
      </c>
      <c r="N660" t="s">
        <v>29</v>
      </c>
      <c r="O660">
        <v>40</v>
      </c>
      <c r="P660">
        <v>100</v>
      </c>
      <c r="Q660">
        <v>25</v>
      </c>
      <c r="R660">
        <v>12</v>
      </c>
      <c r="S660">
        <v>0.44309999999999999</v>
      </c>
    </row>
    <row r="661" spans="1:19" x14ac:dyDescent="0.25">
      <c r="A661">
        <v>1021</v>
      </c>
      <c r="B661">
        <v>8</v>
      </c>
      <c r="C661" t="s">
        <v>28</v>
      </c>
      <c r="D661">
        <v>4.57</v>
      </c>
      <c r="E661">
        <v>1.1000000000000001</v>
      </c>
      <c r="F661">
        <v>340</v>
      </c>
      <c r="G661">
        <v>101</v>
      </c>
      <c r="H661" t="s">
        <v>22</v>
      </c>
      <c r="I661" t="s">
        <v>22</v>
      </c>
      <c r="J661">
        <v>15900</v>
      </c>
      <c r="K661">
        <v>0.26</v>
      </c>
      <c r="L661" t="s">
        <v>22</v>
      </c>
      <c r="M661">
        <v>10.62</v>
      </c>
      <c r="N661" t="s">
        <v>29</v>
      </c>
      <c r="O661">
        <v>40</v>
      </c>
      <c r="P661">
        <v>100</v>
      </c>
      <c r="Q661">
        <v>25</v>
      </c>
      <c r="R661">
        <v>20</v>
      </c>
      <c r="S661">
        <v>0.53</v>
      </c>
    </row>
    <row r="662" spans="1:19" x14ac:dyDescent="0.25">
      <c r="A662">
        <v>1021</v>
      </c>
      <c r="B662">
        <v>8</v>
      </c>
      <c r="C662" t="s">
        <v>35</v>
      </c>
      <c r="D662">
        <v>5.18</v>
      </c>
      <c r="E662">
        <v>0.13200000000000001</v>
      </c>
      <c r="F662">
        <v>393</v>
      </c>
      <c r="G662">
        <v>150</v>
      </c>
      <c r="H662" t="s">
        <v>22</v>
      </c>
      <c r="I662" t="s">
        <v>22</v>
      </c>
      <c r="J662">
        <v>15900</v>
      </c>
      <c r="K662">
        <v>0.26</v>
      </c>
      <c r="L662" t="s">
        <v>22</v>
      </c>
      <c r="M662">
        <v>10.62</v>
      </c>
      <c r="N662" t="s">
        <v>32</v>
      </c>
      <c r="O662">
        <v>40</v>
      </c>
      <c r="P662">
        <v>100</v>
      </c>
      <c r="Q662">
        <v>25</v>
      </c>
      <c r="R662">
        <v>3</v>
      </c>
      <c r="S662">
        <v>0.16</v>
      </c>
    </row>
    <row r="663" spans="1:19" x14ac:dyDescent="0.25">
      <c r="A663">
        <v>1021</v>
      </c>
      <c r="B663">
        <v>8</v>
      </c>
      <c r="C663" t="s">
        <v>35</v>
      </c>
      <c r="D663">
        <v>5.18</v>
      </c>
      <c r="E663">
        <v>0.13200000000000001</v>
      </c>
      <c r="F663">
        <v>393</v>
      </c>
      <c r="G663">
        <v>150</v>
      </c>
      <c r="H663" t="s">
        <v>22</v>
      </c>
      <c r="I663" t="s">
        <v>22</v>
      </c>
      <c r="J663">
        <v>15900</v>
      </c>
      <c r="K663">
        <v>0.26</v>
      </c>
      <c r="L663" t="s">
        <v>22</v>
      </c>
      <c r="M663">
        <v>10.62</v>
      </c>
      <c r="N663" t="s">
        <v>32</v>
      </c>
      <c r="O663">
        <v>40</v>
      </c>
      <c r="P663">
        <v>100</v>
      </c>
      <c r="Q663">
        <v>25</v>
      </c>
      <c r="R663">
        <v>8</v>
      </c>
      <c r="S663">
        <v>0.19</v>
      </c>
    </row>
    <row r="664" spans="1:19" x14ac:dyDescent="0.25">
      <c r="A664">
        <v>1021</v>
      </c>
      <c r="B664">
        <v>8</v>
      </c>
      <c r="C664" t="s">
        <v>35</v>
      </c>
      <c r="D664">
        <v>5.18</v>
      </c>
      <c r="E664">
        <v>0.13200000000000001</v>
      </c>
      <c r="F664">
        <v>393</v>
      </c>
      <c r="G664">
        <v>150</v>
      </c>
      <c r="H664" t="s">
        <v>22</v>
      </c>
      <c r="I664" t="s">
        <v>22</v>
      </c>
      <c r="J664">
        <v>15900</v>
      </c>
      <c r="K664">
        <v>0.26</v>
      </c>
      <c r="L664" t="s">
        <v>22</v>
      </c>
      <c r="M664">
        <v>10.62</v>
      </c>
      <c r="N664" t="s">
        <v>32</v>
      </c>
      <c r="O664">
        <v>40</v>
      </c>
      <c r="P664">
        <v>100</v>
      </c>
      <c r="Q664">
        <v>25</v>
      </c>
      <c r="R664">
        <v>12</v>
      </c>
      <c r="S664">
        <v>0.36</v>
      </c>
    </row>
    <row r="665" spans="1:19" x14ac:dyDescent="0.25">
      <c r="A665">
        <v>1021</v>
      </c>
      <c r="B665">
        <v>8</v>
      </c>
      <c r="C665" t="s">
        <v>35</v>
      </c>
      <c r="D665">
        <v>5.18</v>
      </c>
      <c r="E665">
        <v>0.13200000000000001</v>
      </c>
      <c r="F665">
        <v>393</v>
      </c>
      <c r="G665">
        <v>150</v>
      </c>
      <c r="H665" t="s">
        <v>22</v>
      </c>
      <c r="I665" t="s">
        <v>22</v>
      </c>
      <c r="J665">
        <v>15900</v>
      </c>
      <c r="K665">
        <v>0.26</v>
      </c>
      <c r="L665" t="s">
        <v>22</v>
      </c>
      <c r="M665">
        <v>10.62</v>
      </c>
      <c r="N665" t="s">
        <v>32</v>
      </c>
      <c r="O665">
        <v>40</v>
      </c>
      <c r="P665">
        <v>100</v>
      </c>
      <c r="Q665">
        <v>25</v>
      </c>
      <c r="R665">
        <v>20</v>
      </c>
      <c r="S665">
        <v>0.47660000000000002</v>
      </c>
    </row>
    <row r="666" spans="1:19" x14ac:dyDescent="0.25">
      <c r="A666">
        <v>1021</v>
      </c>
      <c r="B666">
        <v>9</v>
      </c>
      <c r="C666" t="s">
        <v>28</v>
      </c>
      <c r="D666">
        <v>4.57</v>
      </c>
      <c r="E666">
        <v>1.1000000000000001</v>
      </c>
      <c r="F666">
        <v>340</v>
      </c>
      <c r="G666">
        <v>101</v>
      </c>
      <c r="H666" t="s">
        <v>22</v>
      </c>
      <c r="I666" t="s">
        <v>22</v>
      </c>
      <c r="J666" t="s">
        <v>22</v>
      </c>
      <c r="K666" t="s">
        <v>22</v>
      </c>
      <c r="L666" t="s">
        <v>22</v>
      </c>
      <c r="M666">
        <v>9.66</v>
      </c>
      <c r="N666" t="s">
        <v>29</v>
      </c>
      <c r="O666">
        <v>40</v>
      </c>
      <c r="P666">
        <v>100</v>
      </c>
      <c r="Q666">
        <v>25</v>
      </c>
      <c r="R666">
        <v>3</v>
      </c>
      <c r="S666">
        <v>0.16639999999999999</v>
      </c>
    </row>
    <row r="667" spans="1:19" x14ac:dyDescent="0.25">
      <c r="A667">
        <v>1021</v>
      </c>
      <c r="B667">
        <v>9</v>
      </c>
      <c r="C667" t="s">
        <v>28</v>
      </c>
      <c r="D667">
        <v>4.57</v>
      </c>
      <c r="E667">
        <v>1.1000000000000001</v>
      </c>
      <c r="F667">
        <v>340</v>
      </c>
      <c r="G667">
        <v>101</v>
      </c>
      <c r="H667" t="s">
        <v>22</v>
      </c>
      <c r="I667" t="s">
        <v>22</v>
      </c>
      <c r="J667" t="s">
        <v>22</v>
      </c>
      <c r="K667" t="s">
        <v>22</v>
      </c>
      <c r="L667" t="s">
        <v>22</v>
      </c>
      <c r="M667">
        <v>9.66</v>
      </c>
      <c r="N667" t="s">
        <v>29</v>
      </c>
      <c r="O667">
        <v>40</v>
      </c>
      <c r="P667">
        <v>100</v>
      </c>
      <c r="Q667">
        <v>25</v>
      </c>
      <c r="R667">
        <v>8</v>
      </c>
      <c r="S667">
        <v>0.19989999999999999</v>
      </c>
    </row>
    <row r="668" spans="1:19" x14ac:dyDescent="0.25">
      <c r="A668">
        <v>1021</v>
      </c>
      <c r="B668">
        <v>9</v>
      </c>
      <c r="C668" t="s">
        <v>28</v>
      </c>
      <c r="D668">
        <v>4.57</v>
      </c>
      <c r="E668">
        <v>1.1000000000000001</v>
      </c>
      <c r="F668">
        <v>340</v>
      </c>
      <c r="G668">
        <v>101</v>
      </c>
      <c r="H668" t="s">
        <v>22</v>
      </c>
      <c r="I668" t="s">
        <v>22</v>
      </c>
      <c r="J668" t="s">
        <v>22</v>
      </c>
      <c r="K668" t="s">
        <v>22</v>
      </c>
      <c r="L668" t="s">
        <v>22</v>
      </c>
      <c r="M668">
        <v>9.66</v>
      </c>
      <c r="N668" t="s">
        <v>29</v>
      </c>
      <c r="O668">
        <v>40</v>
      </c>
      <c r="P668">
        <v>100</v>
      </c>
      <c r="Q668">
        <v>25</v>
      </c>
      <c r="R668">
        <v>12</v>
      </c>
      <c r="S668">
        <v>0.46660000000000001</v>
      </c>
    </row>
    <row r="669" spans="1:19" x14ac:dyDescent="0.25">
      <c r="A669">
        <v>1021</v>
      </c>
      <c r="B669">
        <v>9</v>
      </c>
      <c r="C669" t="s">
        <v>28</v>
      </c>
      <c r="D669">
        <v>4.57</v>
      </c>
      <c r="E669">
        <v>1.1000000000000001</v>
      </c>
      <c r="F669">
        <v>340</v>
      </c>
      <c r="G669">
        <v>101</v>
      </c>
      <c r="H669" t="s">
        <v>22</v>
      </c>
      <c r="I669" t="s">
        <v>22</v>
      </c>
      <c r="J669" t="s">
        <v>22</v>
      </c>
      <c r="K669" t="s">
        <v>22</v>
      </c>
      <c r="L669" t="s">
        <v>22</v>
      </c>
      <c r="M669">
        <v>9.66</v>
      </c>
      <c r="N669" t="s">
        <v>29</v>
      </c>
      <c r="O669">
        <v>40</v>
      </c>
      <c r="P669">
        <v>100</v>
      </c>
      <c r="Q669">
        <v>25</v>
      </c>
      <c r="R669">
        <v>20</v>
      </c>
      <c r="S669">
        <v>0.58450000000000002</v>
      </c>
    </row>
    <row r="670" spans="1:19" x14ac:dyDescent="0.25">
      <c r="A670">
        <v>1021</v>
      </c>
      <c r="B670">
        <v>9</v>
      </c>
      <c r="C670" t="s">
        <v>35</v>
      </c>
      <c r="D670">
        <v>5.18</v>
      </c>
      <c r="E670">
        <v>0.13200000000000001</v>
      </c>
      <c r="F670">
        <v>393</v>
      </c>
      <c r="G670">
        <v>150</v>
      </c>
      <c r="H670" t="s">
        <v>22</v>
      </c>
      <c r="I670" t="s">
        <v>22</v>
      </c>
      <c r="J670" t="s">
        <v>22</v>
      </c>
      <c r="K670" t="s">
        <v>22</v>
      </c>
      <c r="L670" t="s">
        <v>22</v>
      </c>
      <c r="M670">
        <v>9.66</v>
      </c>
      <c r="N670" t="s">
        <v>32</v>
      </c>
      <c r="O670">
        <v>40</v>
      </c>
      <c r="P670">
        <v>100</v>
      </c>
      <c r="Q670">
        <v>25</v>
      </c>
      <c r="R670">
        <v>3</v>
      </c>
      <c r="S670">
        <v>0.14000000000000001</v>
      </c>
    </row>
    <row r="671" spans="1:19" x14ac:dyDescent="0.25">
      <c r="A671">
        <v>1021</v>
      </c>
      <c r="B671">
        <v>9</v>
      </c>
      <c r="C671" t="s">
        <v>35</v>
      </c>
      <c r="D671">
        <v>5.18</v>
      </c>
      <c r="E671">
        <v>0.13200000000000001</v>
      </c>
      <c r="F671">
        <v>393</v>
      </c>
      <c r="G671">
        <v>150</v>
      </c>
      <c r="H671" t="s">
        <v>22</v>
      </c>
      <c r="I671" t="s">
        <v>22</v>
      </c>
      <c r="J671" t="s">
        <v>22</v>
      </c>
      <c r="K671" t="s">
        <v>22</v>
      </c>
      <c r="L671" t="s">
        <v>22</v>
      </c>
      <c r="M671">
        <v>9.66</v>
      </c>
      <c r="N671" t="s">
        <v>32</v>
      </c>
      <c r="O671">
        <v>40</v>
      </c>
      <c r="P671">
        <v>100</v>
      </c>
      <c r="Q671">
        <v>25</v>
      </c>
      <c r="R671">
        <v>8</v>
      </c>
      <c r="S671">
        <v>0.15</v>
      </c>
    </row>
    <row r="672" spans="1:19" x14ac:dyDescent="0.25">
      <c r="A672">
        <v>1021</v>
      </c>
      <c r="B672">
        <v>9</v>
      </c>
      <c r="C672" t="s">
        <v>35</v>
      </c>
      <c r="D672">
        <v>5.18</v>
      </c>
      <c r="E672">
        <v>0.13200000000000001</v>
      </c>
      <c r="F672">
        <v>393</v>
      </c>
      <c r="G672">
        <v>150</v>
      </c>
      <c r="H672" t="s">
        <v>22</v>
      </c>
      <c r="I672" t="s">
        <v>22</v>
      </c>
      <c r="J672" t="s">
        <v>22</v>
      </c>
      <c r="K672" t="s">
        <v>22</v>
      </c>
      <c r="L672" t="s">
        <v>22</v>
      </c>
      <c r="M672">
        <v>9.66</v>
      </c>
      <c r="N672" t="s">
        <v>32</v>
      </c>
      <c r="O672">
        <v>40</v>
      </c>
      <c r="P672">
        <v>100</v>
      </c>
      <c r="Q672">
        <v>25</v>
      </c>
      <c r="R672">
        <v>12</v>
      </c>
      <c r="S672">
        <v>0.28499999999999998</v>
      </c>
    </row>
    <row r="673" spans="1:19" x14ac:dyDescent="0.25">
      <c r="A673">
        <v>1021</v>
      </c>
      <c r="B673">
        <v>9</v>
      </c>
      <c r="C673" t="s">
        <v>35</v>
      </c>
      <c r="D673">
        <v>5.18</v>
      </c>
      <c r="E673">
        <v>0.13200000000000001</v>
      </c>
      <c r="F673">
        <v>393</v>
      </c>
      <c r="G673">
        <v>150</v>
      </c>
      <c r="H673" t="s">
        <v>22</v>
      </c>
      <c r="I673" t="s">
        <v>22</v>
      </c>
      <c r="J673" t="s">
        <v>22</v>
      </c>
      <c r="K673" t="s">
        <v>22</v>
      </c>
      <c r="L673" t="s">
        <v>22</v>
      </c>
      <c r="M673">
        <v>9.66</v>
      </c>
      <c r="N673" t="s">
        <v>32</v>
      </c>
      <c r="O673">
        <v>40</v>
      </c>
      <c r="P673">
        <v>100</v>
      </c>
      <c r="Q673">
        <v>25</v>
      </c>
      <c r="R673">
        <v>20</v>
      </c>
      <c r="S673">
        <v>0.21179999999999999</v>
      </c>
    </row>
    <row r="674" spans="1:19" x14ac:dyDescent="0.25">
      <c r="A674">
        <v>1021</v>
      </c>
      <c r="B674">
        <v>10</v>
      </c>
      <c r="C674" t="s">
        <v>28</v>
      </c>
      <c r="D674">
        <v>4.57</v>
      </c>
      <c r="E674">
        <v>1.1000000000000001</v>
      </c>
      <c r="F674">
        <v>340</v>
      </c>
      <c r="G674">
        <v>101</v>
      </c>
      <c r="H674" t="s">
        <v>22</v>
      </c>
      <c r="I674" t="s">
        <v>22</v>
      </c>
      <c r="J674" t="s">
        <v>22</v>
      </c>
      <c r="K674" t="s">
        <v>22</v>
      </c>
      <c r="L674" t="s">
        <v>22</v>
      </c>
      <c r="M674">
        <v>9.66</v>
      </c>
      <c r="N674" t="s">
        <v>29</v>
      </c>
      <c r="O674">
        <v>40</v>
      </c>
      <c r="P674">
        <v>100</v>
      </c>
      <c r="Q674">
        <v>25</v>
      </c>
      <c r="R674">
        <v>3</v>
      </c>
      <c r="S674">
        <v>0.20599999999999999</v>
      </c>
    </row>
    <row r="675" spans="1:19" x14ac:dyDescent="0.25">
      <c r="A675">
        <v>1021</v>
      </c>
      <c r="B675">
        <v>10</v>
      </c>
      <c r="C675" t="s">
        <v>28</v>
      </c>
      <c r="D675">
        <v>4.57</v>
      </c>
      <c r="E675">
        <v>1.1000000000000001</v>
      </c>
      <c r="F675">
        <v>340</v>
      </c>
      <c r="G675">
        <v>101</v>
      </c>
      <c r="H675" t="s">
        <v>22</v>
      </c>
      <c r="I675" t="s">
        <v>22</v>
      </c>
      <c r="J675" t="s">
        <v>22</v>
      </c>
      <c r="K675" t="s">
        <v>22</v>
      </c>
      <c r="L675" t="s">
        <v>22</v>
      </c>
      <c r="M675">
        <v>9.66</v>
      </c>
      <c r="N675" t="s">
        <v>29</v>
      </c>
      <c r="O675">
        <v>40</v>
      </c>
      <c r="P675">
        <v>100</v>
      </c>
      <c r="Q675">
        <v>25</v>
      </c>
      <c r="R675">
        <v>8</v>
      </c>
      <c r="S675">
        <v>0.19900000000000001</v>
      </c>
    </row>
    <row r="676" spans="1:19" x14ac:dyDescent="0.25">
      <c r="A676">
        <v>1021</v>
      </c>
      <c r="B676">
        <v>10</v>
      </c>
      <c r="C676" t="s">
        <v>28</v>
      </c>
      <c r="D676">
        <v>4.57</v>
      </c>
      <c r="E676">
        <v>1.1000000000000001</v>
      </c>
      <c r="F676">
        <v>340</v>
      </c>
      <c r="G676">
        <v>101</v>
      </c>
      <c r="H676" t="s">
        <v>22</v>
      </c>
      <c r="I676" t="s">
        <v>22</v>
      </c>
      <c r="J676" t="s">
        <v>22</v>
      </c>
      <c r="K676" t="s">
        <v>22</v>
      </c>
      <c r="L676" t="s">
        <v>22</v>
      </c>
      <c r="M676">
        <v>9.66</v>
      </c>
      <c r="N676" t="s">
        <v>29</v>
      </c>
      <c r="O676">
        <v>40</v>
      </c>
      <c r="P676">
        <v>100</v>
      </c>
      <c r="Q676">
        <v>25</v>
      </c>
      <c r="R676">
        <v>12</v>
      </c>
      <c r="S676">
        <v>0.40310000000000001</v>
      </c>
    </row>
    <row r="677" spans="1:19" x14ac:dyDescent="0.25">
      <c r="A677">
        <v>1021</v>
      </c>
      <c r="B677">
        <v>10</v>
      </c>
      <c r="C677" t="s">
        <v>28</v>
      </c>
      <c r="D677">
        <v>4.57</v>
      </c>
      <c r="E677">
        <v>1.1000000000000001</v>
      </c>
      <c r="F677">
        <v>340</v>
      </c>
      <c r="G677">
        <v>101</v>
      </c>
      <c r="H677" t="s">
        <v>22</v>
      </c>
      <c r="I677" t="s">
        <v>22</v>
      </c>
      <c r="J677" t="s">
        <v>22</v>
      </c>
      <c r="K677" t="s">
        <v>22</v>
      </c>
      <c r="L677" t="s">
        <v>22</v>
      </c>
      <c r="M677">
        <v>9.66</v>
      </c>
      <c r="N677" t="s">
        <v>29</v>
      </c>
      <c r="O677">
        <v>40</v>
      </c>
      <c r="P677">
        <v>100</v>
      </c>
      <c r="Q677">
        <v>25</v>
      </c>
      <c r="R677">
        <v>20</v>
      </c>
      <c r="S677">
        <v>0.64990000000000003</v>
      </c>
    </row>
    <row r="678" spans="1:19" x14ac:dyDescent="0.25">
      <c r="A678">
        <v>1021</v>
      </c>
      <c r="B678">
        <v>10</v>
      </c>
      <c r="C678" t="s">
        <v>35</v>
      </c>
      <c r="D678">
        <v>5.18</v>
      </c>
      <c r="E678">
        <v>0.13200000000000001</v>
      </c>
      <c r="F678">
        <v>393</v>
      </c>
      <c r="G678">
        <v>150</v>
      </c>
      <c r="H678" t="s">
        <v>22</v>
      </c>
      <c r="I678" t="s">
        <v>22</v>
      </c>
      <c r="J678" t="s">
        <v>22</v>
      </c>
      <c r="K678" t="s">
        <v>22</v>
      </c>
      <c r="L678" t="s">
        <v>22</v>
      </c>
      <c r="M678">
        <v>9.66</v>
      </c>
      <c r="N678" t="s">
        <v>32</v>
      </c>
      <c r="O678">
        <v>40</v>
      </c>
      <c r="P678">
        <v>100</v>
      </c>
      <c r="Q678">
        <v>25</v>
      </c>
      <c r="R678">
        <v>3</v>
      </c>
      <c r="S678">
        <v>0.16</v>
      </c>
    </row>
    <row r="679" spans="1:19" x14ac:dyDescent="0.25">
      <c r="A679">
        <v>1021</v>
      </c>
      <c r="B679">
        <v>10</v>
      </c>
      <c r="C679" t="s">
        <v>35</v>
      </c>
      <c r="D679">
        <v>5.18</v>
      </c>
      <c r="E679">
        <v>0.13200000000000001</v>
      </c>
      <c r="F679">
        <v>393</v>
      </c>
      <c r="G679">
        <v>150</v>
      </c>
      <c r="H679" t="s">
        <v>22</v>
      </c>
      <c r="I679" t="s">
        <v>22</v>
      </c>
      <c r="J679" t="s">
        <v>22</v>
      </c>
      <c r="K679" t="s">
        <v>22</v>
      </c>
      <c r="L679" t="s">
        <v>22</v>
      </c>
      <c r="M679">
        <v>9.66</v>
      </c>
      <c r="N679" t="s">
        <v>32</v>
      </c>
      <c r="O679">
        <v>40</v>
      </c>
      <c r="P679">
        <v>100</v>
      </c>
      <c r="Q679">
        <v>25</v>
      </c>
      <c r="R679">
        <v>8</v>
      </c>
      <c r="S679">
        <v>0.14499999999999999</v>
      </c>
    </row>
    <row r="680" spans="1:19" x14ac:dyDescent="0.25">
      <c r="A680">
        <v>1021</v>
      </c>
      <c r="B680">
        <v>10</v>
      </c>
      <c r="C680" t="s">
        <v>35</v>
      </c>
      <c r="D680">
        <v>5.18</v>
      </c>
      <c r="E680">
        <v>0.13200000000000001</v>
      </c>
      <c r="F680">
        <v>393</v>
      </c>
      <c r="G680">
        <v>150</v>
      </c>
      <c r="H680" t="s">
        <v>22</v>
      </c>
      <c r="I680" t="s">
        <v>22</v>
      </c>
      <c r="J680" t="s">
        <v>22</v>
      </c>
      <c r="K680" t="s">
        <v>22</v>
      </c>
      <c r="L680" t="s">
        <v>22</v>
      </c>
      <c r="M680">
        <v>9.66</v>
      </c>
      <c r="N680" t="s">
        <v>32</v>
      </c>
      <c r="O680">
        <v>40</v>
      </c>
      <c r="P680">
        <v>100</v>
      </c>
      <c r="Q680">
        <v>25</v>
      </c>
      <c r="R680">
        <v>12</v>
      </c>
      <c r="S680">
        <v>0.28499999999999998</v>
      </c>
    </row>
    <row r="681" spans="1:19" x14ac:dyDescent="0.25">
      <c r="A681">
        <v>1021</v>
      </c>
      <c r="B681">
        <v>10</v>
      </c>
      <c r="C681" t="s">
        <v>35</v>
      </c>
      <c r="D681">
        <v>5.18</v>
      </c>
      <c r="E681">
        <v>0.13200000000000001</v>
      </c>
      <c r="F681">
        <v>393</v>
      </c>
      <c r="G681">
        <v>150</v>
      </c>
      <c r="H681" t="s">
        <v>22</v>
      </c>
      <c r="I681" t="s">
        <v>22</v>
      </c>
      <c r="J681" t="s">
        <v>22</v>
      </c>
      <c r="K681" t="s">
        <v>22</v>
      </c>
      <c r="L681" t="s">
        <v>22</v>
      </c>
      <c r="M681">
        <v>9.66</v>
      </c>
      <c r="N681" t="s">
        <v>32</v>
      </c>
      <c r="O681">
        <v>40</v>
      </c>
      <c r="P681">
        <v>100</v>
      </c>
      <c r="Q681">
        <v>25</v>
      </c>
      <c r="R681">
        <v>20</v>
      </c>
      <c r="S681">
        <v>0.34110000000000001</v>
      </c>
    </row>
    <row r="682" spans="1:19" x14ac:dyDescent="0.25">
      <c r="A682">
        <v>1021</v>
      </c>
      <c r="B682">
        <v>11</v>
      </c>
      <c r="C682" t="s">
        <v>28</v>
      </c>
      <c r="D682">
        <v>4.57</v>
      </c>
      <c r="E682">
        <v>1.1000000000000001</v>
      </c>
      <c r="F682">
        <v>340</v>
      </c>
      <c r="G682">
        <v>101</v>
      </c>
      <c r="H682" t="s">
        <v>22</v>
      </c>
      <c r="I682" t="s">
        <v>22</v>
      </c>
      <c r="J682" t="s">
        <v>22</v>
      </c>
      <c r="K682" t="s">
        <v>22</v>
      </c>
      <c r="L682" t="s">
        <v>22</v>
      </c>
      <c r="M682">
        <v>9.66</v>
      </c>
      <c r="N682" t="s">
        <v>29</v>
      </c>
      <c r="O682">
        <v>40</v>
      </c>
      <c r="P682">
        <v>100</v>
      </c>
      <c r="Q682">
        <v>25</v>
      </c>
      <c r="R682">
        <v>3</v>
      </c>
      <c r="S682">
        <v>0.18790000000000001</v>
      </c>
    </row>
    <row r="683" spans="1:19" x14ac:dyDescent="0.25">
      <c r="A683">
        <v>1021</v>
      </c>
      <c r="B683">
        <v>11</v>
      </c>
      <c r="C683" t="s">
        <v>28</v>
      </c>
      <c r="D683">
        <v>4.57</v>
      </c>
      <c r="E683">
        <v>1.1000000000000001</v>
      </c>
      <c r="F683">
        <v>340</v>
      </c>
      <c r="G683">
        <v>101</v>
      </c>
      <c r="H683" t="s">
        <v>22</v>
      </c>
      <c r="I683" t="s">
        <v>22</v>
      </c>
      <c r="J683" t="s">
        <v>22</v>
      </c>
      <c r="K683" t="s">
        <v>22</v>
      </c>
      <c r="L683" t="s">
        <v>22</v>
      </c>
      <c r="M683">
        <v>9.66</v>
      </c>
      <c r="N683" t="s">
        <v>29</v>
      </c>
      <c r="O683">
        <v>40</v>
      </c>
      <c r="P683">
        <v>100</v>
      </c>
      <c r="Q683">
        <v>25</v>
      </c>
      <c r="R683">
        <v>8</v>
      </c>
      <c r="S683">
        <v>0.18140000000000001</v>
      </c>
    </row>
    <row r="684" spans="1:19" x14ac:dyDescent="0.25">
      <c r="A684">
        <v>1021</v>
      </c>
      <c r="B684">
        <v>11</v>
      </c>
      <c r="C684" t="s">
        <v>28</v>
      </c>
      <c r="D684">
        <v>4.57</v>
      </c>
      <c r="E684">
        <v>1.1000000000000001</v>
      </c>
      <c r="F684">
        <v>340</v>
      </c>
      <c r="G684">
        <v>101</v>
      </c>
      <c r="H684" t="s">
        <v>22</v>
      </c>
      <c r="I684" t="s">
        <v>22</v>
      </c>
      <c r="J684" t="s">
        <v>22</v>
      </c>
      <c r="K684" t="s">
        <v>22</v>
      </c>
      <c r="L684" t="s">
        <v>22</v>
      </c>
      <c r="M684">
        <v>9.66</v>
      </c>
      <c r="N684" t="s">
        <v>29</v>
      </c>
      <c r="O684">
        <v>40</v>
      </c>
      <c r="P684">
        <v>100</v>
      </c>
      <c r="Q684">
        <v>25</v>
      </c>
      <c r="R684">
        <v>12</v>
      </c>
      <c r="S684">
        <v>0.37730000000000002</v>
      </c>
    </row>
    <row r="685" spans="1:19" x14ac:dyDescent="0.25">
      <c r="A685">
        <v>1021</v>
      </c>
      <c r="B685">
        <v>11</v>
      </c>
      <c r="C685" t="s">
        <v>28</v>
      </c>
      <c r="D685">
        <v>4.57</v>
      </c>
      <c r="E685">
        <v>1.1000000000000001</v>
      </c>
      <c r="F685">
        <v>340</v>
      </c>
      <c r="G685">
        <v>101</v>
      </c>
      <c r="H685" t="s">
        <v>22</v>
      </c>
      <c r="I685" t="s">
        <v>22</v>
      </c>
      <c r="J685" t="s">
        <v>22</v>
      </c>
      <c r="K685" t="s">
        <v>22</v>
      </c>
      <c r="L685" t="s">
        <v>22</v>
      </c>
      <c r="M685">
        <v>9.66</v>
      </c>
      <c r="N685" t="s">
        <v>29</v>
      </c>
      <c r="O685">
        <v>40</v>
      </c>
      <c r="P685">
        <v>100</v>
      </c>
      <c r="Q685">
        <v>25</v>
      </c>
      <c r="R685">
        <v>20</v>
      </c>
      <c r="S685">
        <v>0.50949999999999995</v>
      </c>
    </row>
    <row r="686" spans="1:19" x14ac:dyDescent="0.25">
      <c r="A686">
        <v>1021</v>
      </c>
      <c r="B686">
        <v>11</v>
      </c>
      <c r="C686" t="s">
        <v>35</v>
      </c>
      <c r="D686">
        <v>5.18</v>
      </c>
      <c r="E686">
        <v>0.13200000000000001</v>
      </c>
      <c r="F686">
        <v>393</v>
      </c>
      <c r="G686">
        <v>150</v>
      </c>
      <c r="H686" t="s">
        <v>22</v>
      </c>
      <c r="I686" t="s">
        <v>22</v>
      </c>
      <c r="J686" t="s">
        <v>22</v>
      </c>
      <c r="K686" t="s">
        <v>22</v>
      </c>
      <c r="L686" t="s">
        <v>22</v>
      </c>
      <c r="M686">
        <v>9.66</v>
      </c>
      <c r="N686" t="s">
        <v>32</v>
      </c>
      <c r="O686">
        <v>40</v>
      </c>
      <c r="P686">
        <v>100</v>
      </c>
      <c r="Q686">
        <v>25</v>
      </c>
      <c r="R686">
        <v>3</v>
      </c>
      <c r="S686">
        <v>0.14499999999999999</v>
      </c>
    </row>
    <row r="687" spans="1:19" x14ac:dyDescent="0.25">
      <c r="A687">
        <v>1021</v>
      </c>
      <c r="B687">
        <v>11</v>
      </c>
      <c r="C687" t="s">
        <v>35</v>
      </c>
      <c r="D687">
        <v>5.18</v>
      </c>
      <c r="E687">
        <v>0.13200000000000001</v>
      </c>
      <c r="F687">
        <v>393</v>
      </c>
      <c r="G687">
        <v>150</v>
      </c>
      <c r="H687" t="s">
        <v>22</v>
      </c>
      <c r="I687" t="s">
        <v>22</v>
      </c>
      <c r="J687" t="s">
        <v>22</v>
      </c>
      <c r="K687" t="s">
        <v>22</v>
      </c>
      <c r="L687" t="s">
        <v>22</v>
      </c>
      <c r="M687">
        <v>9.66</v>
      </c>
      <c r="N687" t="s">
        <v>32</v>
      </c>
      <c r="O687">
        <v>40</v>
      </c>
      <c r="P687">
        <v>100</v>
      </c>
      <c r="Q687">
        <v>25</v>
      </c>
      <c r="R687">
        <v>8</v>
      </c>
      <c r="S687">
        <v>0.15</v>
      </c>
    </row>
    <row r="688" spans="1:19" x14ac:dyDescent="0.25">
      <c r="A688">
        <v>1021</v>
      </c>
      <c r="B688">
        <v>11</v>
      </c>
      <c r="C688" t="s">
        <v>35</v>
      </c>
      <c r="D688">
        <v>5.18</v>
      </c>
      <c r="E688">
        <v>0.13200000000000001</v>
      </c>
      <c r="F688">
        <v>393</v>
      </c>
      <c r="G688">
        <v>150</v>
      </c>
      <c r="H688" t="s">
        <v>22</v>
      </c>
      <c r="I688" t="s">
        <v>22</v>
      </c>
      <c r="J688" t="s">
        <v>22</v>
      </c>
      <c r="K688" t="s">
        <v>22</v>
      </c>
      <c r="L688" t="s">
        <v>22</v>
      </c>
      <c r="M688">
        <v>9.66</v>
      </c>
      <c r="N688" t="s">
        <v>32</v>
      </c>
      <c r="O688">
        <v>40</v>
      </c>
      <c r="P688">
        <v>100</v>
      </c>
      <c r="Q688">
        <v>25</v>
      </c>
      <c r="R688">
        <v>12</v>
      </c>
      <c r="S688">
        <v>0.28499999999999998</v>
      </c>
    </row>
    <row r="689" spans="1:19" x14ac:dyDescent="0.25">
      <c r="A689">
        <v>1021</v>
      </c>
      <c r="B689">
        <v>11</v>
      </c>
      <c r="C689" t="s">
        <v>35</v>
      </c>
      <c r="D689">
        <v>5.18</v>
      </c>
      <c r="E689">
        <v>0.13200000000000001</v>
      </c>
      <c r="F689">
        <v>393</v>
      </c>
      <c r="G689">
        <v>150</v>
      </c>
      <c r="H689" t="s">
        <v>22</v>
      </c>
      <c r="I689" t="s">
        <v>22</v>
      </c>
      <c r="J689" t="s">
        <v>22</v>
      </c>
      <c r="K689" t="s">
        <v>22</v>
      </c>
      <c r="L689" t="s">
        <v>22</v>
      </c>
      <c r="M689">
        <v>9.66</v>
      </c>
      <c r="N689" t="s">
        <v>32</v>
      </c>
      <c r="O689">
        <v>40</v>
      </c>
      <c r="P689">
        <v>100</v>
      </c>
      <c r="Q689">
        <v>25</v>
      </c>
      <c r="R689">
        <v>20</v>
      </c>
      <c r="S689">
        <v>0.2321</v>
      </c>
    </row>
    <row r="690" spans="1:19" x14ac:dyDescent="0.25">
      <c r="A690">
        <v>1022</v>
      </c>
      <c r="B690">
        <v>1</v>
      </c>
      <c r="C690" t="s">
        <v>31</v>
      </c>
      <c r="D690">
        <v>5.22</v>
      </c>
      <c r="E690">
        <v>0.26</v>
      </c>
      <c r="F690">
        <v>375</v>
      </c>
      <c r="G690">
        <v>111</v>
      </c>
      <c r="H690" t="s">
        <v>22</v>
      </c>
      <c r="I690" t="s">
        <v>22</v>
      </c>
      <c r="J690">
        <v>4500</v>
      </c>
      <c r="K690" t="s">
        <v>22</v>
      </c>
      <c r="L690" t="s">
        <v>22</v>
      </c>
      <c r="M690">
        <v>9.66</v>
      </c>
      <c r="N690" t="s">
        <v>32</v>
      </c>
      <c r="O690">
        <v>60</v>
      </c>
      <c r="P690">
        <v>5.16</v>
      </c>
      <c r="Q690">
        <v>25</v>
      </c>
      <c r="R690">
        <v>7</v>
      </c>
      <c r="S690">
        <v>0.22</v>
      </c>
    </row>
    <row r="691" spans="1:19" x14ac:dyDescent="0.25">
      <c r="A691">
        <v>1022</v>
      </c>
      <c r="B691">
        <v>1</v>
      </c>
      <c r="C691" t="s">
        <v>31</v>
      </c>
      <c r="D691">
        <v>5.22</v>
      </c>
      <c r="E691">
        <v>0.26</v>
      </c>
      <c r="F691">
        <v>375</v>
      </c>
      <c r="G691">
        <v>111</v>
      </c>
      <c r="H691" t="s">
        <v>22</v>
      </c>
      <c r="I691" t="s">
        <v>22</v>
      </c>
      <c r="J691">
        <v>4500</v>
      </c>
      <c r="K691" t="s">
        <v>22</v>
      </c>
      <c r="L691" t="s">
        <v>22</v>
      </c>
      <c r="M691">
        <v>9.66</v>
      </c>
      <c r="N691" t="s">
        <v>32</v>
      </c>
      <c r="O691">
        <v>60</v>
      </c>
      <c r="P691">
        <v>5.16</v>
      </c>
      <c r="Q691">
        <v>25</v>
      </c>
      <c r="R691">
        <v>14</v>
      </c>
      <c r="S691">
        <v>0.25</v>
      </c>
    </row>
    <row r="692" spans="1:19" x14ac:dyDescent="0.25">
      <c r="A692">
        <v>1022</v>
      </c>
      <c r="B692">
        <v>1</v>
      </c>
      <c r="C692" t="s">
        <v>31</v>
      </c>
      <c r="D692">
        <v>5.22</v>
      </c>
      <c r="E692">
        <v>0.26</v>
      </c>
      <c r="F692">
        <v>375</v>
      </c>
      <c r="G692">
        <v>111</v>
      </c>
      <c r="H692" t="s">
        <v>22</v>
      </c>
      <c r="I692" t="s">
        <v>22</v>
      </c>
      <c r="J692">
        <v>4500</v>
      </c>
      <c r="K692" t="s">
        <v>22</v>
      </c>
      <c r="L692" t="s">
        <v>22</v>
      </c>
      <c r="M692">
        <v>9.66</v>
      </c>
      <c r="N692" t="s">
        <v>32</v>
      </c>
      <c r="O692">
        <v>60</v>
      </c>
      <c r="P692">
        <v>5.16</v>
      </c>
      <c r="Q692">
        <v>25</v>
      </c>
      <c r="R692">
        <v>21</v>
      </c>
      <c r="S692">
        <v>0.28000000000000003</v>
      </c>
    </row>
    <row r="693" spans="1:19" x14ac:dyDescent="0.25">
      <c r="A693">
        <v>1022</v>
      </c>
      <c r="B693">
        <v>1</v>
      </c>
      <c r="C693" t="s">
        <v>31</v>
      </c>
      <c r="D693">
        <v>5.22</v>
      </c>
      <c r="E693">
        <v>0.26</v>
      </c>
      <c r="F693">
        <v>375</v>
      </c>
      <c r="G693">
        <v>111</v>
      </c>
      <c r="H693" t="s">
        <v>22</v>
      </c>
      <c r="I693" t="s">
        <v>22</v>
      </c>
      <c r="J693">
        <v>4500</v>
      </c>
      <c r="K693" t="s">
        <v>22</v>
      </c>
      <c r="L693" t="s">
        <v>22</v>
      </c>
      <c r="M693">
        <v>9.66</v>
      </c>
      <c r="N693" t="s">
        <v>32</v>
      </c>
      <c r="O693">
        <v>60</v>
      </c>
      <c r="P693">
        <v>5.16</v>
      </c>
      <c r="Q693">
        <v>25</v>
      </c>
      <c r="R693">
        <v>35</v>
      </c>
      <c r="S693">
        <v>0.36</v>
      </c>
    </row>
    <row r="694" spans="1:19" x14ac:dyDescent="0.25">
      <c r="A694">
        <v>1022</v>
      </c>
      <c r="B694">
        <v>1</v>
      </c>
      <c r="C694" t="s">
        <v>31</v>
      </c>
      <c r="D694">
        <v>5.22</v>
      </c>
      <c r="E694">
        <v>0.26</v>
      </c>
      <c r="F694">
        <v>375</v>
      </c>
      <c r="G694">
        <v>111</v>
      </c>
      <c r="H694" t="s">
        <v>22</v>
      </c>
      <c r="I694" t="s">
        <v>22</v>
      </c>
      <c r="J694">
        <v>4500</v>
      </c>
      <c r="K694" t="s">
        <v>22</v>
      </c>
      <c r="L694" t="s">
        <v>22</v>
      </c>
      <c r="M694">
        <v>9.66</v>
      </c>
      <c r="N694" t="s">
        <v>32</v>
      </c>
      <c r="O694">
        <v>60</v>
      </c>
      <c r="P694">
        <v>5.16</v>
      </c>
      <c r="Q694">
        <v>25</v>
      </c>
      <c r="R694">
        <v>56</v>
      </c>
      <c r="S694">
        <v>0.52590000000000003</v>
      </c>
    </row>
    <row r="695" spans="1:19" x14ac:dyDescent="0.25">
      <c r="A695">
        <v>1022</v>
      </c>
      <c r="B695">
        <v>1</v>
      </c>
      <c r="C695" t="s">
        <v>35</v>
      </c>
      <c r="D695">
        <v>5.18</v>
      </c>
      <c r="E695">
        <v>0.13200000000000001</v>
      </c>
      <c r="F695">
        <v>393</v>
      </c>
      <c r="G695">
        <v>150</v>
      </c>
      <c r="H695" t="s">
        <v>22</v>
      </c>
      <c r="I695" t="s">
        <v>22</v>
      </c>
      <c r="J695">
        <v>4500</v>
      </c>
      <c r="K695" t="s">
        <v>22</v>
      </c>
      <c r="L695" t="s">
        <v>22</v>
      </c>
      <c r="M695">
        <v>9.66</v>
      </c>
      <c r="N695" t="s">
        <v>32</v>
      </c>
      <c r="O695">
        <v>60</v>
      </c>
      <c r="P695">
        <v>3.75</v>
      </c>
      <c r="Q695">
        <v>25</v>
      </c>
      <c r="R695">
        <v>7</v>
      </c>
      <c r="S695">
        <v>0.24</v>
      </c>
    </row>
    <row r="696" spans="1:19" x14ac:dyDescent="0.25">
      <c r="A696">
        <v>1022</v>
      </c>
      <c r="B696">
        <v>1</v>
      </c>
      <c r="C696" t="s">
        <v>35</v>
      </c>
      <c r="D696">
        <v>5.18</v>
      </c>
      <c r="E696">
        <v>0.13200000000000001</v>
      </c>
      <c r="F696">
        <v>393</v>
      </c>
      <c r="G696">
        <v>150</v>
      </c>
      <c r="H696" t="s">
        <v>22</v>
      </c>
      <c r="I696" t="s">
        <v>22</v>
      </c>
      <c r="J696">
        <v>4500</v>
      </c>
      <c r="K696" t="s">
        <v>22</v>
      </c>
      <c r="L696" t="s">
        <v>22</v>
      </c>
      <c r="M696">
        <v>9.66</v>
      </c>
      <c r="N696" t="s">
        <v>32</v>
      </c>
      <c r="O696">
        <v>60</v>
      </c>
      <c r="P696">
        <v>3.75</v>
      </c>
      <c r="Q696">
        <v>25</v>
      </c>
      <c r="R696">
        <v>14</v>
      </c>
      <c r="S696">
        <v>0.31</v>
      </c>
    </row>
    <row r="697" spans="1:19" x14ac:dyDescent="0.25">
      <c r="A697">
        <v>1022</v>
      </c>
      <c r="B697">
        <v>1</v>
      </c>
      <c r="C697" t="s">
        <v>35</v>
      </c>
      <c r="D697">
        <v>5.18</v>
      </c>
      <c r="E697">
        <v>0.13200000000000001</v>
      </c>
      <c r="F697">
        <v>393</v>
      </c>
      <c r="G697">
        <v>150</v>
      </c>
      <c r="H697" t="s">
        <v>22</v>
      </c>
      <c r="I697" t="s">
        <v>22</v>
      </c>
      <c r="J697">
        <v>4500</v>
      </c>
      <c r="K697" t="s">
        <v>22</v>
      </c>
      <c r="L697" t="s">
        <v>22</v>
      </c>
      <c r="M697">
        <v>9.66</v>
      </c>
      <c r="N697" t="s">
        <v>32</v>
      </c>
      <c r="O697">
        <v>60</v>
      </c>
      <c r="P697">
        <v>3.75</v>
      </c>
      <c r="Q697">
        <v>25</v>
      </c>
      <c r="R697">
        <v>21</v>
      </c>
      <c r="S697">
        <v>0.38</v>
      </c>
    </row>
    <row r="698" spans="1:19" x14ac:dyDescent="0.25">
      <c r="A698">
        <v>1022</v>
      </c>
      <c r="B698">
        <v>1</v>
      </c>
      <c r="C698" t="s">
        <v>35</v>
      </c>
      <c r="D698">
        <v>5.18</v>
      </c>
      <c r="E698">
        <v>0.13200000000000001</v>
      </c>
      <c r="F698">
        <v>393</v>
      </c>
      <c r="G698">
        <v>150</v>
      </c>
      <c r="H698" t="s">
        <v>22</v>
      </c>
      <c r="I698" t="s">
        <v>22</v>
      </c>
      <c r="J698">
        <v>4500</v>
      </c>
      <c r="K698" t="s">
        <v>22</v>
      </c>
      <c r="L698" t="s">
        <v>22</v>
      </c>
      <c r="M698">
        <v>9.66</v>
      </c>
      <c r="N698" t="s">
        <v>32</v>
      </c>
      <c r="O698">
        <v>60</v>
      </c>
      <c r="P698">
        <v>3.75</v>
      </c>
      <c r="Q698">
        <v>25</v>
      </c>
      <c r="R698">
        <v>35</v>
      </c>
      <c r="S698">
        <v>0.35</v>
      </c>
    </row>
    <row r="699" spans="1:19" x14ac:dyDescent="0.25">
      <c r="A699">
        <v>1022</v>
      </c>
      <c r="B699">
        <v>1</v>
      </c>
      <c r="C699" t="s">
        <v>35</v>
      </c>
      <c r="D699">
        <v>5.18</v>
      </c>
      <c r="E699">
        <v>0.13200000000000001</v>
      </c>
      <c r="F699">
        <v>393</v>
      </c>
      <c r="G699">
        <v>150</v>
      </c>
      <c r="H699" t="s">
        <v>22</v>
      </c>
      <c r="I699" t="s">
        <v>22</v>
      </c>
      <c r="J699">
        <v>4500</v>
      </c>
      <c r="K699" t="s">
        <v>22</v>
      </c>
      <c r="L699" t="s">
        <v>22</v>
      </c>
      <c r="M699">
        <v>9.66</v>
      </c>
      <c r="N699" t="s">
        <v>32</v>
      </c>
      <c r="O699">
        <v>60</v>
      </c>
      <c r="P699">
        <v>3.75</v>
      </c>
      <c r="Q699">
        <v>25</v>
      </c>
      <c r="R699">
        <v>56</v>
      </c>
      <c r="S699">
        <v>0.52580000000000005</v>
      </c>
    </row>
    <row r="700" spans="1:19" x14ac:dyDescent="0.25">
      <c r="A700">
        <v>1022</v>
      </c>
      <c r="B700">
        <v>1</v>
      </c>
      <c r="C700" t="s">
        <v>36</v>
      </c>
      <c r="D700">
        <v>5.91</v>
      </c>
      <c r="E700">
        <v>1.0999999999999999E-2</v>
      </c>
      <c r="F700">
        <v>350</v>
      </c>
      <c r="G700">
        <v>150</v>
      </c>
      <c r="H700" t="s">
        <v>22</v>
      </c>
      <c r="I700" t="s">
        <v>22</v>
      </c>
      <c r="J700">
        <v>4500</v>
      </c>
      <c r="K700" t="s">
        <v>22</v>
      </c>
      <c r="L700" t="s">
        <v>22</v>
      </c>
      <c r="M700">
        <v>9.66</v>
      </c>
      <c r="N700" t="s">
        <v>32</v>
      </c>
      <c r="O700">
        <v>60</v>
      </c>
      <c r="P700">
        <v>4.8600000000000003</v>
      </c>
      <c r="Q700">
        <v>25</v>
      </c>
      <c r="R700">
        <v>7</v>
      </c>
      <c r="S700">
        <v>0.31</v>
      </c>
    </row>
    <row r="701" spans="1:19" x14ac:dyDescent="0.25">
      <c r="A701">
        <v>1022</v>
      </c>
      <c r="B701">
        <v>1</v>
      </c>
      <c r="C701" t="s">
        <v>36</v>
      </c>
      <c r="D701">
        <v>5.91</v>
      </c>
      <c r="E701">
        <v>1.0999999999999999E-2</v>
      </c>
      <c r="F701">
        <v>350</v>
      </c>
      <c r="G701">
        <v>150</v>
      </c>
      <c r="H701" t="s">
        <v>22</v>
      </c>
      <c r="I701" t="s">
        <v>22</v>
      </c>
      <c r="J701">
        <v>4500</v>
      </c>
      <c r="K701" t="s">
        <v>22</v>
      </c>
      <c r="L701" t="s">
        <v>22</v>
      </c>
      <c r="M701">
        <v>9.66</v>
      </c>
      <c r="N701" t="s">
        <v>32</v>
      </c>
      <c r="O701">
        <v>60</v>
      </c>
      <c r="P701">
        <v>4.8600000000000003</v>
      </c>
      <c r="Q701">
        <v>25</v>
      </c>
      <c r="R701">
        <v>14</v>
      </c>
      <c r="S701">
        <v>0.43</v>
      </c>
    </row>
    <row r="702" spans="1:19" x14ac:dyDescent="0.25">
      <c r="A702">
        <v>1022</v>
      </c>
      <c r="B702">
        <v>1</v>
      </c>
      <c r="C702" t="s">
        <v>36</v>
      </c>
      <c r="D702">
        <v>5.91</v>
      </c>
      <c r="E702">
        <v>1.0999999999999999E-2</v>
      </c>
      <c r="F702">
        <v>350</v>
      </c>
      <c r="G702">
        <v>150</v>
      </c>
      <c r="H702" t="s">
        <v>22</v>
      </c>
      <c r="I702" t="s">
        <v>22</v>
      </c>
      <c r="J702">
        <v>4500</v>
      </c>
      <c r="K702" t="s">
        <v>22</v>
      </c>
      <c r="L702" t="s">
        <v>22</v>
      </c>
      <c r="M702">
        <v>9.66</v>
      </c>
      <c r="N702" t="s">
        <v>32</v>
      </c>
      <c r="O702">
        <v>60</v>
      </c>
      <c r="P702">
        <v>4.8600000000000003</v>
      </c>
      <c r="Q702">
        <v>25</v>
      </c>
      <c r="R702">
        <v>21</v>
      </c>
      <c r="S702">
        <v>0.57999999999999996</v>
      </c>
    </row>
    <row r="703" spans="1:19" x14ac:dyDescent="0.25">
      <c r="A703">
        <v>1022</v>
      </c>
      <c r="B703">
        <v>1</v>
      </c>
      <c r="C703" t="s">
        <v>36</v>
      </c>
      <c r="D703">
        <v>5.91</v>
      </c>
      <c r="E703">
        <v>1.0999999999999999E-2</v>
      </c>
      <c r="F703">
        <v>350</v>
      </c>
      <c r="G703">
        <v>150</v>
      </c>
      <c r="H703" t="s">
        <v>22</v>
      </c>
      <c r="I703" t="s">
        <v>22</v>
      </c>
      <c r="J703">
        <v>4500</v>
      </c>
      <c r="K703" t="s">
        <v>22</v>
      </c>
      <c r="L703" t="s">
        <v>22</v>
      </c>
      <c r="M703">
        <v>9.66</v>
      </c>
      <c r="N703" t="s">
        <v>32</v>
      </c>
      <c r="O703">
        <v>60</v>
      </c>
      <c r="P703">
        <v>4.8600000000000003</v>
      </c>
      <c r="Q703">
        <v>25</v>
      </c>
      <c r="R703">
        <v>35</v>
      </c>
      <c r="S703">
        <v>0.6</v>
      </c>
    </row>
    <row r="704" spans="1:19" x14ac:dyDescent="0.25">
      <c r="A704">
        <v>1022</v>
      </c>
      <c r="B704">
        <v>1</v>
      </c>
      <c r="C704" t="s">
        <v>36</v>
      </c>
      <c r="D704">
        <v>5.91</v>
      </c>
      <c r="E704">
        <v>1.0999999999999999E-2</v>
      </c>
      <c r="F704">
        <v>350</v>
      </c>
      <c r="G704">
        <v>150</v>
      </c>
      <c r="H704" t="s">
        <v>22</v>
      </c>
      <c r="I704" t="s">
        <v>22</v>
      </c>
      <c r="J704">
        <v>4500</v>
      </c>
      <c r="K704" t="s">
        <v>22</v>
      </c>
      <c r="L704" t="s">
        <v>22</v>
      </c>
      <c r="M704">
        <v>9.66</v>
      </c>
      <c r="N704" t="s">
        <v>32</v>
      </c>
      <c r="O704">
        <v>60</v>
      </c>
      <c r="P704">
        <v>4.8600000000000003</v>
      </c>
      <c r="Q704">
        <v>25</v>
      </c>
      <c r="R704">
        <v>56</v>
      </c>
      <c r="S704">
        <v>0.67</v>
      </c>
    </row>
    <row r="705" spans="1:19" x14ac:dyDescent="0.25">
      <c r="A705">
        <v>1022</v>
      </c>
      <c r="B705">
        <v>2</v>
      </c>
      <c r="C705" t="s">
        <v>31</v>
      </c>
      <c r="D705">
        <v>5.22</v>
      </c>
      <c r="E705">
        <v>0.26</v>
      </c>
      <c r="F705">
        <v>375</v>
      </c>
      <c r="G705">
        <v>111</v>
      </c>
      <c r="H705" t="s">
        <v>22</v>
      </c>
      <c r="I705" t="s">
        <v>22</v>
      </c>
      <c r="J705">
        <v>4500</v>
      </c>
      <c r="K705" t="s">
        <v>22</v>
      </c>
      <c r="L705" t="s">
        <v>22</v>
      </c>
      <c r="M705">
        <v>9.66</v>
      </c>
      <c r="N705" t="s">
        <v>32</v>
      </c>
      <c r="O705">
        <v>60</v>
      </c>
      <c r="P705">
        <v>5.16</v>
      </c>
      <c r="Q705">
        <v>25</v>
      </c>
      <c r="R705">
        <v>7</v>
      </c>
      <c r="S705">
        <v>0.25</v>
      </c>
    </row>
    <row r="706" spans="1:19" x14ac:dyDescent="0.25">
      <c r="A706">
        <v>1022</v>
      </c>
      <c r="B706">
        <v>2</v>
      </c>
      <c r="C706" t="s">
        <v>31</v>
      </c>
      <c r="D706">
        <v>5.22</v>
      </c>
      <c r="E706">
        <v>0.26</v>
      </c>
      <c r="F706">
        <v>375</v>
      </c>
      <c r="G706">
        <v>111</v>
      </c>
      <c r="H706" t="s">
        <v>22</v>
      </c>
      <c r="I706" t="s">
        <v>22</v>
      </c>
      <c r="J706">
        <v>4500</v>
      </c>
      <c r="K706" t="s">
        <v>22</v>
      </c>
      <c r="L706" t="s">
        <v>22</v>
      </c>
      <c r="M706">
        <v>9.66</v>
      </c>
      <c r="N706" t="s">
        <v>32</v>
      </c>
      <c r="O706">
        <v>60</v>
      </c>
      <c r="P706">
        <v>5.16</v>
      </c>
      <c r="Q706">
        <v>25</v>
      </c>
      <c r="R706">
        <v>14</v>
      </c>
      <c r="S706">
        <v>0.28999999999999998</v>
      </c>
    </row>
    <row r="707" spans="1:19" x14ac:dyDescent="0.25">
      <c r="A707">
        <v>1022</v>
      </c>
      <c r="B707">
        <v>2</v>
      </c>
      <c r="C707" t="s">
        <v>31</v>
      </c>
      <c r="D707">
        <v>5.22</v>
      </c>
      <c r="E707">
        <v>0.26</v>
      </c>
      <c r="F707">
        <v>375</v>
      </c>
      <c r="G707">
        <v>111</v>
      </c>
      <c r="H707" t="s">
        <v>22</v>
      </c>
      <c r="I707" t="s">
        <v>22</v>
      </c>
      <c r="J707">
        <v>4500</v>
      </c>
      <c r="K707" t="s">
        <v>22</v>
      </c>
      <c r="L707" t="s">
        <v>22</v>
      </c>
      <c r="M707">
        <v>9.66</v>
      </c>
      <c r="N707" t="s">
        <v>32</v>
      </c>
      <c r="O707">
        <v>60</v>
      </c>
      <c r="P707">
        <v>5.16</v>
      </c>
      <c r="Q707">
        <v>25</v>
      </c>
      <c r="R707">
        <v>21</v>
      </c>
      <c r="S707">
        <v>0.35</v>
      </c>
    </row>
    <row r="708" spans="1:19" x14ac:dyDescent="0.25">
      <c r="A708">
        <v>1022</v>
      </c>
      <c r="B708">
        <v>2</v>
      </c>
      <c r="C708" t="s">
        <v>31</v>
      </c>
      <c r="D708">
        <v>5.22</v>
      </c>
      <c r="E708">
        <v>0.26</v>
      </c>
      <c r="F708">
        <v>375</v>
      </c>
      <c r="G708">
        <v>111</v>
      </c>
      <c r="H708" t="s">
        <v>22</v>
      </c>
      <c r="I708" t="s">
        <v>22</v>
      </c>
      <c r="J708">
        <v>4500</v>
      </c>
      <c r="K708" t="s">
        <v>22</v>
      </c>
      <c r="L708" t="s">
        <v>22</v>
      </c>
      <c r="M708">
        <v>9.66</v>
      </c>
      <c r="N708" t="s">
        <v>32</v>
      </c>
      <c r="O708">
        <v>60</v>
      </c>
      <c r="P708">
        <v>5.16</v>
      </c>
      <c r="Q708">
        <v>25</v>
      </c>
      <c r="R708">
        <v>35</v>
      </c>
      <c r="S708">
        <v>0.48</v>
      </c>
    </row>
    <row r="709" spans="1:19" x14ac:dyDescent="0.25">
      <c r="A709">
        <v>1022</v>
      </c>
      <c r="B709">
        <v>2</v>
      </c>
      <c r="C709" t="s">
        <v>31</v>
      </c>
      <c r="D709">
        <v>5.22</v>
      </c>
      <c r="E709">
        <v>0.26</v>
      </c>
      <c r="F709">
        <v>375</v>
      </c>
      <c r="G709">
        <v>111</v>
      </c>
      <c r="H709" t="s">
        <v>22</v>
      </c>
      <c r="I709" t="s">
        <v>22</v>
      </c>
      <c r="J709">
        <v>4500</v>
      </c>
      <c r="K709" t="s">
        <v>22</v>
      </c>
      <c r="L709" t="s">
        <v>22</v>
      </c>
      <c r="M709">
        <v>9.66</v>
      </c>
      <c r="N709" t="s">
        <v>32</v>
      </c>
      <c r="O709">
        <v>60</v>
      </c>
      <c r="P709">
        <v>5.16</v>
      </c>
      <c r="Q709">
        <v>25</v>
      </c>
      <c r="R709">
        <v>56</v>
      </c>
      <c r="S709">
        <v>0.52</v>
      </c>
    </row>
    <row r="710" spans="1:19" x14ac:dyDescent="0.25">
      <c r="A710">
        <v>1022</v>
      </c>
      <c r="B710">
        <v>2</v>
      </c>
      <c r="C710" t="s">
        <v>35</v>
      </c>
      <c r="D710">
        <v>5.18</v>
      </c>
      <c r="E710">
        <v>0.13200000000000001</v>
      </c>
      <c r="F710">
        <v>393</v>
      </c>
      <c r="G710">
        <v>150</v>
      </c>
      <c r="H710" t="s">
        <v>22</v>
      </c>
      <c r="I710" t="s">
        <v>22</v>
      </c>
      <c r="J710">
        <v>4500</v>
      </c>
      <c r="K710" t="s">
        <v>22</v>
      </c>
      <c r="L710" t="s">
        <v>22</v>
      </c>
      <c r="M710">
        <v>9.66</v>
      </c>
      <c r="N710" t="s">
        <v>32</v>
      </c>
      <c r="O710">
        <v>60</v>
      </c>
      <c r="P710">
        <v>3.75</v>
      </c>
      <c r="Q710">
        <v>25</v>
      </c>
      <c r="R710">
        <v>7</v>
      </c>
      <c r="S710">
        <v>0.25</v>
      </c>
    </row>
    <row r="711" spans="1:19" x14ac:dyDescent="0.25">
      <c r="A711">
        <v>1022</v>
      </c>
      <c r="B711">
        <v>2</v>
      </c>
      <c r="C711" t="s">
        <v>35</v>
      </c>
      <c r="D711">
        <v>5.18</v>
      </c>
      <c r="E711">
        <v>0.13200000000000001</v>
      </c>
      <c r="F711">
        <v>393</v>
      </c>
      <c r="G711">
        <v>150</v>
      </c>
      <c r="H711" t="s">
        <v>22</v>
      </c>
      <c r="I711" t="s">
        <v>22</v>
      </c>
      <c r="J711">
        <v>4500</v>
      </c>
      <c r="K711" t="s">
        <v>22</v>
      </c>
      <c r="L711" t="s">
        <v>22</v>
      </c>
      <c r="M711">
        <v>9.66</v>
      </c>
      <c r="N711" t="s">
        <v>32</v>
      </c>
      <c r="O711">
        <v>60</v>
      </c>
      <c r="P711">
        <v>3.75</v>
      </c>
      <c r="Q711">
        <v>25</v>
      </c>
      <c r="R711">
        <v>14</v>
      </c>
      <c r="S711">
        <v>0.32</v>
      </c>
    </row>
    <row r="712" spans="1:19" x14ac:dyDescent="0.25">
      <c r="A712">
        <v>1022</v>
      </c>
      <c r="B712">
        <v>2</v>
      </c>
      <c r="C712" t="s">
        <v>35</v>
      </c>
      <c r="D712">
        <v>5.18</v>
      </c>
      <c r="E712">
        <v>0.13200000000000001</v>
      </c>
      <c r="F712">
        <v>393</v>
      </c>
      <c r="G712">
        <v>150</v>
      </c>
      <c r="H712" t="s">
        <v>22</v>
      </c>
      <c r="I712" t="s">
        <v>22</v>
      </c>
      <c r="J712">
        <v>4500</v>
      </c>
      <c r="K712" t="s">
        <v>22</v>
      </c>
      <c r="L712" t="s">
        <v>22</v>
      </c>
      <c r="M712">
        <v>9.66</v>
      </c>
      <c r="N712" t="s">
        <v>32</v>
      </c>
      <c r="O712">
        <v>60</v>
      </c>
      <c r="P712">
        <v>3.75</v>
      </c>
      <c r="Q712">
        <v>25</v>
      </c>
      <c r="R712">
        <v>21</v>
      </c>
      <c r="S712">
        <v>0.4</v>
      </c>
    </row>
    <row r="713" spans="1:19" x14ac:dyDescent="0.25">
      <c r="A713">
        <v>1022</v>
      </c>
      <c r="B713">
        <v>2</v>
      </c>
      <c r="C713" t="s">
        <v>35</v>
      </c>
      <c r="D713">
        <v>5.18</v>
      </c>
      <c r="E713">
        <v>0.13200000000000001</v>
      </c>
      <c r="F713">
        <v>393</v>
      </c>
      <c r="G713">
        <v>150</v>
      </c>
      <c r="H713" t="s">
        <v>22</v>
      </c>
      <c r="I713" t="s">
        <v>22</v>
      </c>
      <c r="J713">
        <v>4500</v>
      </c>
      <c r="K713" t="s">
        <v>22</v>
      </c>
      <c r="L713" t="s">
        <v>22</v>
      </c>
      <c r="M713">
        <v>9.66</v>
      </c>
      <c r="N713" t="s">
        <v>32</v>
      </c>
      <c r="O713">
        <v>60</v>
      </c>
      <c r="P713">
        <v>3.75</v>
      </c>
      <c r="Q713">
        <v>25</v>
      </c>
      <c r="R713">
        <v>35</v>
      </c>
      <c r="S713">
        <v>0.39</v>
      </c>
    </row>
    <row r="714" spans="1:19" x14ac:dyDescent="0.25">
      <c r="A714">
        <v>1022</v>
      </c>
      <c r="B714">
        <v>2</v>
      </c>
      <c r="C714" t="s">
        <v>35</v>
      </c>
      <c r="D714">
        <v>5.18</v>
      </c>
      <c r="E714">
        <v>0.13200000000000001</v>
      </c>
      <c r="F714">
        <v>393</v>
      </c>
      <c r="G714">
        <v>150</v>
      </c>
      <c r="H714" t="s">
        <v>22</v>
      </c>
      <c r="I714" t="s">
        <v>22</v>
      </c>
      <c r="J714">
        <v>4500</v>
      </c>
      <c r="K714" t="s">
        <v>22</v>
      </c>
      <c r="L714" t="s">
        <v>22</v>
      </c>
      <c r="M714">
        <v>9.66</v>
      </c>
      <c r="N714" t="s">
        <v>32</v>
      </c>
      <c r="O714">
        <v>60</v>
      </c>
      <c r="P714">
        <v>3.75</v>
      </c>
      <c r="Q714">
        <v>25</v>
      </c>
      <c r="R714">
        <v>56</v>
      </c>
      <c r="S714">
        <v>0.5</v>
      </c>
    </row>
    <row r="715" spans="1:19" x14ac:dyDescent="0.25">
      <c r="A715">
        <v>1022</v>
      </c>
      <c r="B715">
        <v>2</v>
      </c>
      <c r="C715" t="s">
        <v>36</v>
      </c>
      <c r="D715">
        <v>5.91</v>
      </c>
      <c r="E715">
        <v>1.0999999999999999E-2</v>
      </c>
      <c r="F715">
        <v>350</v>
      </c>
      <c r="G715">
        <v>150</v>
      </c>
      <c r="H715" t="s">
        <v>22</v>
      </c>
      <c r="I715" t="s">
        <v>22</v>
      </c>
      <c r="J715">
        <v>4500</v>
      </c>
      <c r="K715" t="s">
        <v>22</v>
      </c>
      <c r="L715" t="s">
        <v>22</v>
      </c>
      <c r="M715">
        <v>9.66</v>
      </c>
      <c r="N715" t="s">
        <v>32</v>
      </c>
      <c r="O715">
        <v>60</v>
      </c>
      <c r="P715">
        <v>4.8600000000000003</v>
      </c>
      <c r="Q715">
        <v>25</v>
      </c>
      <c r="R715">
        <v>7</v>
      </c>
      <c r="S715">
        <v>0.55000000000000004</v>
      </c>
    </row>
    <row r="716" spans="1:19" x14ac:dyDescent="0.25">
      <c r="A716">
        <v>1022</v>
      </c>
      <c r="B716">
        <v>2</v>
      </c>
      <c r="C716" t="s">
        <v>36</v>
      </c>
      <c r="D716">
        <v>5.91</v>
      </c>
      <c r="E716">
        <v>1.0999999999999999E-2</v>
      </c>
      <c r="F716">
        <v>350</v>
      </c>
      <c r="G716">
        <v>150</v>
      </c>
      <c r="H716" t="s">
        <v>22</v>
      </c>
      <c r="I716" t="s">
        <v>22</v>
      </c>
      <c r="J716">
        <v>4500</v>
      </c>
      <c r="K716" t="s">
        <v>22</v>
      </c>
      <c r="L716" t="s">
        <v>22</v>
      </c>
      <c r="M716">
        <v>9.66</v>
      </c>
      <c r="N716" t="s">
        <v>32</v>
      </c>
      <c r="O716">
        <v>60</v>
      </c>
      <c r="P716">
        <v>4.8600000000000003</v>
      </c>
      <c r="Q716">
        <v>25</v>
      </c>
      <c r="R716">
        <v>14</v>
      </c>
      <c r="S716">
        <v>0.6</v>
      </c>
    </row>
    <row r="717" spans="1:19" x14ac:dyDescent="0.25">
      <c r="A717">
        <v>1022</v>
      </c>
      <c r="B717">
        <v>2</v>
      </c>
      <c r="C717" t="s">
        <v>36</v>
      </c>
      <c r="D717">
        <v>5.91</v>
      </c>
      <c r="E717">
        <v>1.0999999999999999E-2</v>
      </c>
      <c r="F717">
        <v>350</v>
      </c>
      <c r="G717">
        <v>150</v>
      </c>
      <c r="H717" t="s">
        <v>22</v>
      </c>
      <c r="I717" t="s">
        <v>22</v>
      </c>
      <c r="J717">
        <v>4500</v>
      </c>
      <c r="K717" t="s">
        <v>22</v>
      </c>
      <c r="L717" t="s">
        <v>22</v>
      </c>
      <c r="M717">
        <v>9.66</v>
      </c>
      <c r="N717" t="s">
        <v>32</v>
      </c>
      <c r="O717">
        <v>60</v>
      </c>
      <c r="P717">
        <v>4.8600000000000003</v>
      </c>
      <c r="Q717">
        <v>25</v>
      </c>
      <c r="R717">
        <v>21</v>
      </c>
      <c r="S717">
        <v>0.61</v>
      </c>
    </row>
    <row r="718" spans="1:19" x14ac:dyDescent="0.25">
      <c r="A718">
        <v>1022</v>
      </c>
      <c r="B718">
        <v>2</v>
      </c>
      <c r="C718" t="s">
        <v>36</v>
      </c>
      <c r="D718">
        <v>5.91</v>
      </c>
      <c r="E718">
        <v>1.0999999999999999E-2</v>
      </c>
      <c r="F718">
        <v>350</v>
      </c>
      <c r="G718">
        <v>150</v>
      </c>
      <c r="H718" t="s">
        <v>22</v>
      </c>
      <c r="I718" t="s">
        <v>22</v>
      </c>
      <c r="J718">
        <v>4500</v>
      </c>
      <c r="K718" t="s">
        <v>22</v>
      </c>
      <c r="L718" t="s">
        <v>22</v>
      </c>
      <c r="M718">
        <v>9.66</v>
      </c>
      <c r="N718" t="s">
        <v>32</v>
      </c>
      <c r="O718">
        <v>60</v>
      </c>
      <c r="P718">
        <v>4.8600000000000003</v>
      </c>
      <c r="Q718">
        <v>25</v>
      </c>
      <c r="R718">
        <v>35</v>
      </c>
      <c r="S718">
        <v>0.65</v>
      </c>
    </row>
    <row r="719" spans="1:19" x14ac:dyDescent="0.25">
      <c r="A719">
        <v>1022</v>
      </c>
      <c r="B719">
        <v>2</v>
      </c>
      <c r="C719" t="s">
        <v>36</v>
      </c>
      <c r="D719">
        <v>5.91</v>
      </c>
      <c r="E719">
        <v>1.0999999999999999E-2</v>
      </c>
      <c r="F719">
        <v>350</v>
      </c>
      <c r="G719">
        <v>150</v>
      </c>
      <c r="H719" t="s">
        <v>22</v>
      </c>
      <c r="I719" t="s">
        <v>22</v>
      </c>
      <c r="J719">
        <v>4500</v>
      </c>
      <c r="K719" t="s">
        <v>22</v>
      </c>
      <c r="L719" t="s">
        <v>22</v>
      </c>
      <c r="M719">
        <v>9.66</v>
      </c>
      <c r="N719" t="s">
        <v>32</v>
      </c>
      <c r="O719">
        <v>60</v>
      </c>
      <c r="P719">
        <v>4.8600000000000003</v>
      </c>
      <c r="Q719">
        <v>25</v>
      </c>
      <c r="R719">
        <v>56</v>
      </c>
      <c r="S719">
        <v>0.66</v>
      </c>
    </row>
    <row r="720" spans="1:19" x14ac:dyDescent="0.25">
      <c r="A720">
        <v>1022</v>
      </c>
      <c r="B720">
        <v>3</v>
      </c>
      <c r="C720" t="s">
        <v>31</v>
      </c>
      <c r="D720">
        <v>5.22</v>
      </c>
      <c r="E720">
        <v>0.26</v>
      </c>
      <c r="F720">
        <v>375</v>
      </c>
      <c r="G720">
        <v>111</v>
      </c>
      <c r="H720" t="s">
        <v>22</v>
      </c>
      <c r="I720" t="s">
        <v>22</v>
      </c>
      <c r="J720">
        <v>4500</v>
      </c>
      <c r="K720" t="s">
        <v>22</v>
      </c>
      <c r="L720" t="s">
        <v>22</v>
      </c>
      <c r="M720">
        <v>9.66</v>
      </c>
      <c r="N720" t="s">
        <v>32</v>
      </c>
      <c r="O720">
        <v>60</v>
      </c>
      <c r="P720">
        <v>5.16</v>
      </c>
      <c r="Q720">
        <v>25</v>
      </c>
      <c r="R720">
        <v>7</v>
      </c>
      <c r="S720">
        <v>0.37569999999999998</v>
      </c>
    </row>
    <row r="721" spans="1:19" x14ac:dyDescent="0.25">
      <c r="A721">
        <v>1022</v>
      </c>
      <c r="B721">
        <v>3</v>
      </c>
      <c r="C721" t="s">
        <v>31</v>
      </c>
      <c r="D721">
        <v>5.22</v>
      </c>
      <c r="E721">
        <v>0.26</v>
      </c>
      <c r="F721">
        <v>375</v>
      </c>
      <c r="G721">
        <v>111</v>
      </c>
      <c r="H721" t="s">
        <v>22</v>
      </c>
      <c r="I721" t="s">
        <v>22</v>
      </c>
      <c r="J721">
        <v>4500</v>
      </c>
      <c r="K721" t="s">
        <v>22</v>
      </c>
      <c r="L721" t="s">
        <v>22</v>
      </c>
      <c r="M721">
        <v>9.66</v>
      </c>
      <c r="N721" t="s">
        <v>32</v>
      </c>
      <c r="O721">
        <v>60</v>
      </c>
      <c r="P721">
        <v>5.16</v>
      </c>
      <c r="Q721">
        <v>25</v>
      </c>
      <c r="R721">
        <v>14</v>
      </c>
      <c r="S721">
        <v>0.39</v>
      </c>
    </row>
    <row r="722" spans="1:19" x14ac:dyDescent="0.25">
      <c r="A722">
        <v>1022</v>
      </c>
      <c r="B722">
        <v>3</v>
      </c>
      <c r="C722" t="s">
        <v>31</v>
      </c>
      <c r="D722">
        <v>5.22</v>
      </c>
      <c r="E722">
        <v>0.26</v>
      </c>
      <c r="F722">
        <v>375</v>
      </c>
      <c r="G722">
        <v>111</v>
      </c>
      <c r="H722" t="s">
        <v>22</v>
      </c>
      <c r="I722" t="s">
        <v>22</v>
      </c>
      <c r="J722">
        <v>4500</v>
      </c>
      <c r="K722" t="s">
        <v>22</v>
      </c>
      <c r="L722" t="s">
        <v>22</v>
      </c>
      <c r="M722">
        <v>9.66</v>
      </c>
      <c r="N722" t="s">
        <v>32</v>
      </c>
      <c r="O722">
        <v>60</v>
      </c>
      <c r="P722">
        <v>5.16</v>
      </c>
      <c r="Q722">
        <v>25</v>
      </c>
      <c r="R722">
        <v>21</v>
      </c>
      <c r="S722">
        <v>0.4</v>
      </c>
    </row>
    <row r="723" spans="1:19" x14ac:dyDescent="0.25">
      <c r="A723">
        <v>1022</v>
      </c>
      <c r="B723">
        <v>3</v>
      </c>
      <c r="C723" t="s">
        <v>31</v>
      </c>
      <c r="D723">
        <v>5.22</v>
      </c>
      <c r="E723">
        <v>0.26</v>
      </c>
      <c r="F723">
        <v>375</v>
      </c>
      <c r="G723">
        <v>111</v>
      </c>
      <c r="H723" t="s">
        <v>22</v>
      </c>
      <c r="I723" t="s">
        <v>22</v>
      </c>
      <c r="J723">
        <v>4500</v>
      </c>
      <c r="K723" t="s">
        <v>22</v>
      </c>
      <c r="L723" t="s">
        <v>22</v>
      </c>
      <c r="M723">
        <v>9.66</v>
      </c>
      <c r="N723" t="s">
        <v>32</v>
      </c>
      <c r="O723">
        <v>60</v>
      </c>
      <c r="P723">
        <v>5.16</v>
      </c>
      <c r="Q723">
        <v>25</v>
      </c>
      <c r="R723">
        <v>35</v>
      </c>
      <c r="S723">
        <v>0.62</v>
      </c>
    </row>
    <row r="724" spans="1:19" x14ac:dyDescent="0.25">
      <c r="A724">
        <v>1022</v>
      </c>
      <c r="B724">
        <v>3</v>
      </c>
      <c r="C724" t="s">
        <v>31</v>
      </c>
      <c r="D724">
        <v>5.22</v>
      </c>
      <c r="E724">
        <v>0.26</v>
      </c>
      <c r="F724">
        <v>375</v>
      </c>
      <c r="G724">
        <v>111</v>
      </c>
      <c r="H724" t="s">
        <v>22</v>
      </c>
      <c r="I724" t="s">
        <v>22</v>
      </c>
      <c r="J724">
        <v>4500</v>
      </c>
      <c r="K724" t="s">
        <v>22</v>
      </c>
      <c r="L724" t="s">
        <v>22</v>
      </c>
      <c r="M724">
        <v>9.66</v>
      </c>
      <c r="N724" t="s">
        <v>32</v>
      </c>
      <c r="O724">
        <v>60</v>
      </c>
      <c r="P724">
        <v>5.16</v>
      </c>
      <c r="Q724">
        <v>25</v>
      </c>
      <c r="R724">
        <v>56</v>
      </c>
      <c r="S724">
        <v>0.72119999999999995</v>
      </c>
    </row>
    <row r="725" spans="1:19" x14ac:dyDescent="0.25">
      <c r="A725">
        <v>1022</v>
      </c>
      <c r="B725">
        <v>3</v>
      </c>
      <c r="C725" t="s">
        <v>35</v>
      </c>
      <c r="D725">
        <v>5.18</v>
      </c>
      <c r="E725">
        <v>0.13200000000000001</v>
      </c>
      <c r="F725">
        <v>393</v>
      </c>
      <c r="G725">
        <v>150</v>
      </c>
      <c r="H725" t="s">
        <v>22</v>
      </c>
      <c r="I725" t="s">
        <v>22</v>
      </c>
      <c r="J725">
        <v>4500</v>
      </c>
      <c r="K725" t="s">
        <v>22</v>
      </c>
      <c r="L725" t="s">
        <v>22</v>
      </c>
      <c r="M725">
        <v>9.66</v>
      </c>
      <c r="N725" t="s">
        <v>32</v>
      </c>
      <c r="O725">
        <v>60</v>
      </c>
      <c r="P725">
        <v>3.75</v>
      </c>
      <c r="Q725">
        <v>25</v>
      </c>
      <c r="R725">
        <v>7</v>
      </c>
      <c r="S725">
        <v>0.3695</v>
      </c>
    </row>
    <row r="726" spans="1:19" x14ac:dyDescent="0.25">
      <c r="A726">
        <v>1022</v>
      </c>
      <c r="B726">
        <v>3</v>
      </c>
      <c r="C726" t="s">
        <v>35</v>
      </c>
      <c r="D726">
        <v>5.18</v>
      </c>
      <c r="E726">
        <v>0.13200000000000001</v>
      </c>
      <c r="F726">
        <v>393</v>
      </c>
      <c r="G726">
        <v>150</v>
      </c>
      <c r="H726" t="s">
        <v>22</v>
      </c>
      <c r="I726" t="s">
        <v>22</v>
      </c>
      <c r="J726">
        <v>4500</v>
      </c>
      <c r="K726" t="s">
        <v>22</v>
      </c>
      <c r="L726" t="s">
        <v>22</v>
      </c>
      <c r="M726">
        <v>9.66</v>
      </c>
      <c r="N726" t="s">
        <v>32</v>
      </c>
      <c r="O726">
        <v>60</v>
      </c>
      <c r="P726">
        <v>3.75</v>
      </c>
      <c r="Q726">
        <v>25</v>
      </c>
      <c r="R726">
        <v>14</v>
      </c>
      <c r="S726">
        <v>0.43</v>
      </c>
    </row>
    <row r="727" spans="1:19" x14ac:dyDescent="0.25">
      <c r="A727">
        <v>1022</v>
      </c>
      <c r="B727">
        <v>3</v>
      </c>
      <c r="C727" t="s">
        <v>35</v>
      </c>
      <c r="D727">
        <v>5.18</v>
      </c>
      <c r="E727">
        <v>0.13200000000000001</v>
      </c>
      <c r="F727">
        <v>393</v>
      </c>
      <c r="G727">
        <v>150</v>
      </c>
      <c r="H727" t="s">
        <v>22</v>
      </c>
      <c r="I727" t="s">
        <v>22</v>
      </c>
      <c r="J727">
        <v>4500</v>
      </c>
      <c r="K727" t="s">
        <v>22</v>
      </c>
      <c r="L727" t="s">
        <v>22</v>
      </c>
      <c r="M727">
        <v>9.66</v>
      </c>
      <c r="N727" t="s">
        <v>32</v>
      </c>
      <c r="O727">
        <v>60</v>
      </c>
      <c r="P727">
        <v>3.75</v>
      </c>
      <c r="Q727">
        <v>25</v>
      </c>
      <c r="R727">
        <v>21</v>
      </c>
      <c r="S727">
        <v>0.52</v>
      </c>
    </row>
    <row r="728" spans="1:19" x14ac:dyDescent="0.25">
      <c r="A728">
        <v>1022</v>
      </c>
      <c r="B728">
        <v>3</v>
      </c>
      <c r="C728" t="s">
        <v>35</v>
      </c>
      <c r="D728">
        <v>5.18</v>
      </c>
      <c r="E728">
        <v>0.13200000000000001</v>
      </c>
      <c r="F728">
        <v>393</v>
      </c>
      <c r="G728">
        <v>150</v>
      </c>
      <c r="H728" t="s">
        <v>22</v>
      </c>
      <c r="I728" t="s">
        <v>22</v>
      </c>
      <c r="J728">
        <v>4500</v>
      </c>
      <c r="K728" t="s">
        <v>22</v>
      </c>
      <c r="L728" t="s">
        <v>22</v>
      </c>
      <c r="M728">
        <v>9.66</v>
      </c>
      <c r="N728" t="s">
        <v>32</v>
      </c>
      <c r="O728">
        <v>60</v>
      </c>
      <c r="P728">
        <v>3.75</v>
      </c>
      <c r="Q728">
        <v>25</v>
      </c>
      <c r="R728">
        <v>35</v>
      </c>
      <c r="S728">
        <v>0.55000000000000004</v>
      </c>
    </row>
    <row r="729" spans="1:19" x14ac:dyDescent="0.25">
      <c r="A729">
        <v>1022</v>
      </c>
      <c r="B729">
        <v>3</v>
      </c>
      <c r="C729" t="s">
        <v>35</v>
      </c>
      <c r="D729">
        <v>5.18</v>
      </c>
      <c r="E729">
        <v>0.13200000000000001</v>
      </c>
      <c r="F729">
        <v>393</v>
      </c>
      <c r="G729">
        <v>150</v>
      </c>
      <c r="H729" t="s">
        <v>22</v>
      </c>
      <c r="I729" t="s">
        <v>22</v>
      </c>
      <c r="J729">
        <v>4500</v>
      </c>
      <c r="K729" t="s">
        <v>22</v>
      </c>
      <c r="L729" t="s">
        <v>22</v>
      </c>
      <c r="M729">
        <v>9.66</v>
      </c>
      <c r="N729" t="s">
        <v>32</v>
      </c>
      <c r="O729">
        <v>60</v>
      </c>
      <c r="P729">
        <v>3.75</v>
      </c>
      <c r="Q729">
        <v>25</v>
      </c>
      <c r="R729">
        <v>56</v>
      </c>
      <c r="S729">
        <v>0.68600000000000005</v>
      </c>
    </row>
    <row r="730" spans="1:19" x14ac:dyDescent="0.25">
      <c r="A730">
        <v>1022</v>
      </c>
      <c r="B730">
        <v>3</v>
      </c>
      <c r="C730" t="s">
        <v>36</v>
      </c>
      <c r="D730">
        <v>5.91</v>
      </c>
      <c r="E730">
        <v>1.0999999999999999E-2</v>
      </c>
      <c r="F730">
        <v>350</v>
      </c>
      <c r="G730">
        <v>150</v>
      </c>
      <c r="H730" t="s">
        <v>22</v>
      </c>
      <c r="I730" t="s">
        <v>22</v>
      </c>
      <c r="J730">
        <v>4500</v>
      </c>
      <c r="K730" t="s">
        <v>22</v>
      </c>
      <c r="L730" t="s">
        <v>22</v>
      </c>
      <c r="M730">
        <v>9.66</v>
      </c>
      <c r="N730" t="s">
        <v>32</v>
      </c>
      <c r="O730">
        <v>60</v>
      </c>
      <c r="P730">
        <v>4.8600000000000003</v>
      </c>
      <c r="Q730">
        <v>25</v>
      </c>
      <c r="R730">
        <v>7</v>
      </c>
      <c r="S730">
        <v>0.70009999999999994</v>
      </c>
    </row>
    <row r="731" spans="1:19" x14ac:dyDescent="0.25">
      <c r="A731">
        <v>1022</v>
      </c>
      <c r="B731">
        <v>3</v>
      </c>
      <c r="C731" t="s">
        <v>36</v>
      </c>
      <c r="D731">
        <v>5.91</v>
      </c>
      <c r="E731">
        <v>1.0999999999999999E-2</v>
      </c>
      <c r="F731">
        <v>350</v>
      </c>
      <c r="G731">
        <v>150</v>
      </c>
      <c r="H731" t="s">
        <v>22</v>
      </c>
      <c r="I731" t="s">
        <v>22</v>
      </c>
      <c r="J731">
        <v>4500</v>
      </c>
      <c r="K731" t="s">
        <v>22</v>
      </c>
      <c r="L731" t="s">
        <v>22</v>
      </c>
      <c r="M731">
        <v>9.66</v>
      </c>
      <c r="N731" t="s">
        <v>32</v>
      </c>
      <c r="O731">
        <v>60</v>
      </c>
      <c r="P731">
        <v>4.8600000000000003</v>
      </c>
      <c r="Q731">
        <v>25</v>
      </c>
      <c r="R731">
        <v>14</v>
      </c>
      <c r="S731">
        <v>0.78</v>
      </c>
    </row>
    <row r="732" spans="1:19" x14ac:dyDescent="0.25">
      <c r="A732">
        <v>1022</v>
      </c>
      <c r="B732">
        <v>3</v>
      </c>
      <c r="C732" t="s">
        <v>36</v>
      </c>
      <c r="D732">
        <v>5.91</v>
      </c>
      <c r="E732">
        <v>1.0999999999999999E-2</v>
      </c>
      <c r="F732">
        <v>350</v>
      </c>
      <c r="G732">
        <v>150</v>
      </c>
      <c r="H732" t="s">
        <v>22</v>
      </c>
      <c r="I732" t="s">
        <v>22</v>
      </c>
      <c r="J732">
        <v>4500</v>
      </c>
      <c r="K732" t="s">
        <v>22</v>
      </c>
      <c r="L732" t="s">
        <v>22</v>
      </c>
      <c r="M732">
        <v>9.66</v>
      </c>
      <c r="N732" t="s">
        <v>32</v>
      </c>
      <c r="O732">
        <v>60</v>
      </c>
      <c r="P732">
        <v>4.8600000000000003</v>
      </c>
      <c r="Q732">
        <v>25</v>
      </c>
      <c r="R732">
        <v>21</v>
      </c>
      <c r="S732">
        <v>0.82</v>
      </c>
    </row>
    <row r="733" spans="1:19" x14ac:dyDescent="0.25">
      <c r="A733">
        <v>1022</v>
      </c>
      <c r="B733">
        <v>3</v>
      </c>
      <c r="C733" t="s">
        <v>36</v>
      </c>
      <c r="D733">
        <v>5.91</v>
      </c>
      <c r="E733">
        <v>1.0999999999999999E-2</v>
      </c>
      <c r="F733">
        <v>350</v>
      </c>
      <c r="G733">
        <v>150</v>
      </c>
      <c r="H733" t="s">
        <v>22</v>
      </c>
      <c r="I733" t="s">
        <v>22</v>
      </c>
      <c r="J733">
        <v>4500</v>
      </c>
      <c r="K733" t="s">
        <v>22</v>
      </c>
      <c r="L733" t="s">
        <v>22</v>
      </c>
      <c r="M733">
        <v>9.66</v>
      </c>
      <c r="N733" t="s">
        <v>32</v>
      </c>
      <c r="O733">
        <v>60</v>
      </c>
      <c r="P733">
        <v>4.8600000000000003</v>
      </c>
      <c r="Q733">
        <v>25</v>
      </c>
      <c r="R733">
        <v>35</v>
      </c>
      <c r="S733">
        <v>0.83</v>
      </c>
    </row>
    <row r="734" spans="1:19" x14ac:dyDescent="0.25">
      <c r="A734">
        <v>1022</v>
      </c>
      <c r="B734">
        <v>3</v>
      </c>
      <c r="C734" t="s">
        <v>36</v>
      </c>
      <c r="D734">
        <v>5.91</v>
      </c>
      <c r="E734">
        <v>1.0999999999999999E-2</v>
      </c>
      <c r="F734">
        <v>350</v>
      </c>
      <c r="G734">
        <v>150</v>
      </c>
      <c r="H734" t="s">
        <v>22</v>
      </c>
      <c r="I734" t="s">
        <v>22</v>
      </c>
      <c r="J734">
        <v>4500</v>
      </c>
      <c r="K734" t="s">
        <v>22</v>
      </c>
      <c r="L734" t="s">
        <v>22</v>
      </c>
      <c r="M734">
        <v>9.66</v>
      </c>
      <c r="N734" t="s">
        <v>32</v>
      </c>
      <c r="O734">
        <v>60</v>
      </c>
      <c r="P734">
        <v>4.8600000000000003</v>
      </c>
      <c r="Q734">
        <v>25</v>
      </c>
      <c r="R734">
        <v>56</v>
      </c>
      <c r="S734">
        <v>0.87160000000000004</v>
      </c>
    </row>
    <row r="735" spans="1:19" x14ac:dyDescent="0.25">
      <c r="A735">
        <v>1022</v>
      </c>
      <c r="B735">
        <v>4</v>
      </c>
      <c r="C735" t="s">
        <v>31</v>
      </c>
      <c r="D735">
        <v>5.22</v>
      </c>
      <c r="E735">
        <v>0.26</v>
      </c>
      <c r="F735">
        <v>375</v>
      </c>
      <c r="G735">
        <v>111</v>
      </c>
      <c r="H735" t="s">
        <v>22</v>
      </c>
      <c r="I735" t="s">
        <v>22</v>
      </c>
      <c r="J735">
        <v>4500</v>
      </c>
      <c r="K735" t="s">
        <v>22</v>
      </c>
      <c r="L735" t="s">
        <v>22</v>
      </c>
      <c r="M735">
        <v>9.66</v>
      </c>
      <c r="N735" t="s">
        <v>32</v>
      </c>
      <c r="O735">
        <v>60</v>
      </c>
      <c r="P735">
        <v>5.16</v>
      </c>
      <c r="Q735">
        <v>25</v>
      </c>
      <c r="R735">
        <v>7</v>
      </c>
      <c r="S735">
        <v>0.22</v>
      </c>
    </row>
    <row r="736" spans="1:19" x14ac:dyDescent="0.25">
      <c r="A736">
        <v>1022</v>
      </c>
      <c r="B736">
        <v>4</v>
      </c>
      <c r="C736" t="s">
        <v>31</v>
      </c>
      <c r="D736">
        <v>5.22</v>
      </c>
      <c r="E736">
        <v>0.26</v>
      </c>
      <c r="F736">
        <v>375</v>
      </c>
      <c r="G736">
        <v>111</v>
      </c>
      <c r="H736" t="s">
        <v>22</v>
      </c>
      <c r="I736" t="s">
        <v>22</v>
      </c>
      <c r="J736">
        <v>4500</v>
      </c>
      <c r="K736" t="s">
        <v>22</v>
      </c>
      <c r="L736" t="s">
        <v>22</v>
      </c>
      <c r="M736">
        <v>9.66</v>
      </c>
      <c r="N736" t="s">
        <v>32</v>
      </c>
      <c r="O736">
        <v>60</v>
      </c>
      <c r="P736">
        <v>5.16</v>
      </c>
      <c r="Q736">
        <v>25</v>
      </c>
      <c r="R736">
        <v>14</v>
      </c>
      <c r="S736">
        <v>0.24</v>
      </c>
    </row>
    <row r="737" spans="1:19" x14ac:dyDescent="0.25">
      <c r="A737">
        <v>1022</v>
      </c>
      <c r="B737">
        <v>4</v>
      </c>
      <c r="C737" t="s">
        <v>31</v>
      </c>
      <c r="D737">
        <v>5.22</v>
      </c>
      <c r="E737">
        <v>0.26</v>
      </c>
      <c r="F737">
        <v>375</v>
      </c>
      <c r="G737">
        <v>111</v>
      </c>
      <c r="H737" t="s">
        <v>22</v>
      </c>
      <c r="I737" t="s">
        <v>22</v>
      </c>
      <c r="J737">
        <v>4500</v>
      </c>
      <c r="K737" t="s">
        <v>22</v>
      </c>
      <c r="L737" t="s">
        <v>22</v>
      </c>
      <c r="M737">
        <v>9.66</v>
      </c>
      <c r="N737" t="s">
        <v>32</v>
      </c>
      <c r="O737">
        <v>60</v>
      </c>
      <c r="P737">
        <v>5.16</v>
      </c>
      <c r="Q737">
        <v>25</v>
      </c>
      <c r="R737">
        <v>21</v>
      </c>
      <c r="S737">
        <v>0.32</v>
      </c>
    </row>
    <row r="738" spans="1:19" x14ac:dyDescent="0.25">
      <c r="A738">
        <v>1022</v>
      </c>
      <c r="B738">
        <v>4</v>
      </c>
      <c r="C738" t="s">
        <v>31</v>
      </c>
      <c r="D738">
        <v>5.22</v>
      </c>
      <c r="E738">
        <v>0.26</v>
      </c>
      <c r="F738">
        <v>375</v>
      </c>
      <c r="G738">
        <v>111</v>
      </c>
      <c r="H738" t="s">
        <v>22</v>
      </c>
      <c r="I738" t="s">
        <v>22</v>
      </c>
      <c r="J738">
        <v>4500</v>
      </c>
      <c r="K738" t="s">
        <v>22</v>
      </c>
      <c r="L738" t="s">
        <v>22</v>
      </c>
      <c r="M738">
        <v>9.66</v>
      </c>
      <c r="N738" t="s">
        <v>32</v>
      </c>
      <c r="O738">
        <v>60</v>
      </c>
      <c r="P738">
        <v>5.16</v>
      </c>
      <c r="Q738">
        <v>25</v>
      </c>
      <c r="R738">
        <v>35</v>
      </c>
      <c r="S738">
        <v>0.35</v>
      </c>
    </row>
    <row r="739" spans="1:19" x14ac:dyDescent="0.25">
      <c r="A739">
        <v>1022</v>
      </c>
      <c r="B739">
        <v>4</v>
      </c>
      <c r="C739" t="s">
        <v>31</v>
      </c>
      <c r="D739">
        <v>5.22</v>
      </c>
      <c r="E739">
        <v>0.26</v>
      </c>
      <c r="F739">
        <v>375</v>
      </c>
      <c r="G739">
        <v>111</v>
      </c>
      <c r="H739" t="s">
        <v>22</v>
      </c>
      <c r="I739" t="s">
        <v>22</v>
      </c>
      <c r="J739">
        <v>4500</v>
      </c>
      <c r="K739" t="s">
        <v>22</v>
      </c>
      <c r="L739" t="s">
        <v>22</v>
      </c>
      <c r="M739">
        <v>9.66</v>
      </c>
      <c r="N739" t="s">
        <v>32</v>
      </c>
      <c r="O739">
        <v>60</v>
      </c>
      <c r="P739">
        <v>5.16</v>
      </c>
      <c r="Q739">
        <v>25</v>
      </c>
      <c r="R739">
        <v>56</v>
      </c>
      <c r="S739">
        <v>0.39</v>
      </c>
    </row>
    <row r="740" spans="1:19" x14ac:dyDescent="0.25">
      <c r="A740">
        <v>1022</v>
      </c>
      <c r="B740">
        <v>4</v>
      </c>
      <c r="C740" t="s">
        <v>35</v>
      </c>
      <c r="D740">
        <v>5.18</v>
      </c>
      <c r="E740">
        <v>0.13200000000000001</v>
      </c>
      <c r="F740">
        <v>393</v>
      </c>
      <c r="G740">
        <v>150</v>
      </c>
      <c r="H740" t="s">
        <v>22</v>
      </c>
      <c r="I740" t="s">
        <v>22</v>
      </c>
      <c r="J740">
        <v>4500</v>
      </c>
      <c r="K740" t="s">
        <v>22</v>
      </c>
      <c r="L740" t="s">
        <v>22</v>
      </c>
      <c r="M740">
        <v>9.66</v>
      </c>
      <c r="N740" t="s">
        <v>32</v>
      </c>
      <c r="O740">
        <v>60</v>
      </c>
      <c r="P740">
        <v>3.75</v>
      </c>
      <c r="Q740">
        <v>25</v>
      </c>
      <c r="R740">
        <v>7</v>
      </c>
      <c r="S740">
        <v>0.25</v>
      </c>
    </row>
    <row r="741" spans="1:19" x14ac:dyDescent="0.25">
      <c r="A741">
        <v>1022</v>
      </c>
      <c r="B741">
        <v>4</v>
      </c>
      <c r="C741" t="s">
        <v>35</v>
      </c>
      <c r="D741">
        <v>5.18</v>
      </c>
      <c r="E741">
        <v>0.13200000000000001</v>
      </c>
      <c r="F741">
        <v>393</v>
      </c>
      <c r="G741">
        <v>150</v>
      </c>
      <c r="H741" t="s">
        <v>22</v>
      </c>
      <c r="I741" t="s">
        <v>22</v>
      </c>
      <c r="J741">
        <v>4500</v>
      </c>
      <c r="K741" t="s">
        <v>22</v>
      </c>
      <c r="L741" t="s">
        <v>22</v>
      </c>
      <c r="M741">
        <v>9.66</v>
      </c>
      <c r="N741" t="s">
        <v>32</v>
      </c>
      <c r="O741">
        <v>60</v>
      </c>
      <c r="P741">
        <v>3.75</v>
      </c>
      <c r="Q741">
        <v>25</v>
      </c>
      <c r="R741">
        <v>14</v>
      </c>
      <c r="S741">
        <v>0.3</v>
      </c>
    </row>
    <row r="742" spans="1:19" x14ac:dyDescent="0.25">
      <c r="A742">
        <v>1022</v>
      </c>
      <c r="B742">
        <v>4</v>
      </c>
      <c r="C742" t="s">
        <v>35</v>
      </c>
      <c r="D742">
        <v>5.18</v>
      </c>
      <c r="E742">
        <v>0.13200000000000001</v>
      </c>
      <c r="F742">
        <v>393</v>
      </c>
      <c r="G742">
        <v>150</v>
      </c>
      <c r="H742" t="s">
        <v>22</v>
      </c>
      <c r="I742" t="s">
        <v>22</v>
      </c>
      <c r="J742">
        <v>4500</v>
      </c>
      <c r="K742" t="s">
        <v>22</v>
      </c>
      <c r="L742" t="s">
        <v>22</v>
      </c>
      <c r="M742">
        <v>9.66</v>
      </c>
      <c r="N742" t="s">
        <v>32</v>
      </c>
      <c r="O742">
        <v>60</v>
      </c>
      <c r="P742">
        <v>3.75</v>
      </c>
      <c r="Q742">
        <v>25</v>
      </c>
      <c r="R742">
        <v>21</v>
      </c>
      <c r="S742">
        <v>0.32</v>
      </c>
    </row>
    <row r="743" spans="1:19" x14ac:dyDescent="0.25">
      <c r="A743">
        <v>1022</v>
      </c>
      <c r="B743">
        <v>4</v>
      </c>
      <c r="C743" t="s">
        <v>35</v>
      </c>
      <c r="D743">
        <v>5.18</v>
      </c>
      <c r="E743">
        <v>0.13200000000000001</v>
      </c>
      <c r="F743">
        <v>393</v>
      </c>
      <c r="G743">
        <v>150</v>
      </c>
      <c r="H743" t="s">
        <v>22</v>
      </c>
      <c r="I743" t="s">
        <v>22</v>
      </c>
      <c r="J743">
        <v>4500</v>
      </c>
      <c r="K743" t="s">
        <v>22</v>
      </c>
      <c r="L743" t="s">
        <v>22</v>
      </c>
      <c r="M743">
        <v>9.66</v>
      </c>
      <c r="N743" t="s">
        <v>32</v>
      </c>
      <c r="O743">
        <v>60</v>
      </c>
      <c r="P743">
        <v>3.75</v>
      </c>
      <c r="Q743">
        <v>25</v>
      </c>
      <c r="R743">
        <v>35</v>
      </c>
      <c r="S743">
        <v>0.35</v>
      </c>
    </row>
    <row r="744" spans="1:19" x14ac:dyDescent="0.25">
      <c r="A744">
        <v>1022</v>
      </c>
      <c r="B744">
        <v>4</v>
      </c>
      <c r="C744" t="s">
        <v>35</v>
      </c>
      <c r="D744">
        <v>5.18</v>
      </c>
      <c r="E744">
        <v>0.13200000000000001</v>
      </c>
      <c r="F744">
        <v>393</v>
      </c>
      <c r="G744">
        <v>150</v>
      </c>
      <c r="H744" t="s">
        <v>22</v>
      </c>
      <c r="I744" t="s">
        <v>22</v>
      </c>
      <c r="J744">
        <v>4500</v>
      </c>
      <c r="K744" t="s">
        <v>22</v>
      </c>
      <c r="L744" t="s">
        <v>22</v>
      </c>
      <c r="M744">
        <v>9.66</v>
      </c>
      <c r="N744" t="s">
        <v>32</v>
      </c>
      <c r="O744">
        <v>60</v>
      </c>
      <c r="P744">
        <v>3.75</v>
      </c>
      <c r="Q744">
        <v>25</v>
      </c>
      <c r="R744">
        <v>56</v>
      </c>
      <c r="S744">
        <v>0.4</v>
      </c>
    </row>
    <row r="745" spans="1:19" x14ac:dyDescent="0.25">
      <c r="A745">
        <v>1022</v>
      </c>
      <c r="B745">
        <v>4</v>
      </c>
      <c r="C745" t="s">
        <v>36</v>
      </c>
      <c r="D745">
        <v>5.91</v>
      </c>
      <c r="E745">
        <v>1.0999999999999999E-2</v>
      </c>
      <c r="F745">
        <v>350</v>
      </c>
      <c r="G745">
        <v>150</v>
      </c>
      <c r="H745" t="s">
        <v>22</v>
      </c>
      <c r="I745" t="s">
        <v>22</v>
      </c>
      <c r="J745">
        <v>4500</v>
      </c>
      <c r="K745" t="s">
        <v>22</v>
      </c>
      <c r="L745" t="s">
        <v>22</v>
      </c>
      <c r="M745">
        <v>9.66</v>
      </c>
      <c r="N745" t="s">
        <v>32</v>
      </c>
      <c r="O745">
        <v>60</v>
      </c>
      <c r="P745">
        <v>4.8600000000000003</v>
      </c>
      <c r="Q745">
        <v>25</v>
      </c>
      <c r="R745">
        <v>7</v>
      </c>
      <c r="S745">
        <v>0.23</v>
      </c>
    </row>
    <row r="746" spans="1:19" x14ac:dyDescent="0.25">
      <c r="A746">
        <v>1022</v>
      </c>
      <c r="B746">
        <v>4</v>
      </c>
      <c r="C746" t="s">
        <v>36</v>
      </c>
      <c r="D746">
        <v>5.91</v>
      </c>
      <c r="E746">
        <v>1.0999999999999999E-2</v>
      </c>
      <c r="F746">
        <v>350</v>
      </c>
      <c r="G746">
        <v>150</v>
      </c>
      <c r="H746" t="s">
        <v>22</v>
      </c>
      <c r="I746" t="s">
        <v>22</v>
      </c>
      <c r="J746">
        <v>4500</v>
      </c>
      <c r="K746" t="s">
        <v>22</v>
      </c>
      <c r="L746" t="s">
        <v>22</v>
      </c>
      <c r="M746">
        <v>9.66</v>
      </c>
      <c r="N746" t="s">
        <v>32</v>
      </c>
      <c r="O746">
        <v>60</v>
      </c>
      <c r="P746">
        <v>4.8600000000000003</v>
      </c>
      <c r="Q746">
        <v>25</v>
      </c>
      <c r="R746">
        <v>14</v>
      </c>
      <c r="S746">
        <v>0.33</v>
      </c>
    </row>
    <row r="747" spans="1:19" x14ac:dyDescent="0.25">
      <c r="A747">
        <v>1022</v>
      </c>
      <c r="B747">
        <v>4</v>
      </c>
      <c r="C747" t="s">
        <v>36</v>
      </c>
      <c r="D747">
        <v>5.91</v>
      </c>
      <c r="E747">
        <v>1.0999999999999999E-2</v>
      </c>
      <c r="F747">
        <v>350</v>
      </c>
      <c r="G747">
        <v>150</v>
      </c>
      <c r="H747" t="s">
        <v>22</v>
      </c>
      <c r="I747" t="s">
        <v>22</v>
      </c>
      <c r="J747">
        <v>4500</v>
      </c>
      <c r="K747" t="s">
        <v>22</v>
      </c>
      <c r="L747" t="s">
        <v>22</v>
      </c>
      <c r="M747">
        <v>9.66</v>
      </c>
      <c r="N747" t="s">
        <v>32</v>
      </c>
      <c r="O747">
        <v>60</v>
      </c>
      <c r="P747">
        <v>4.8600000000000003</v>
      </c>
      <c r="Q747">
        <v>25</v>
      </c>
      <c r="R747">
        <v>21</v>
      </c>
      <c r="S747">
        <v>0.42</v>
      </c>
    </row>
    <row r="748" spans="1:19" x14ac:dyDescent="0.25">
      <c r="A748">
        <v>1022</v>
      </c>
      <c r="B748">
        <v>4</v>
      </c>
      <c r="C748" t="s">
        <v>36</v>
      </c>
      <c r="D748">
        <v>5.91</v>
      </c>
      <c r="E748">
        <v>1.0999999999999999E-2</v>
      </c>
      <c r="F748">
        <v>350</v>
      </c>
      <c r="G748">
        <v>150</v>
      </c>
      <c r="H748" t="s">
        <v>22</v>
      </c>
      <c r="I748" t="s">
        <v>22</v>
      </c>
      <c r="J748">
        <v>4500</v>
      </c>
      <c r="K748" t="s">
        <v>22</v>
      </c>
      <c r="L748" t="s">
        <v>22</v>
      </c>
      <c r="M748">
        <v>9.66</v>
      </c>
      <c r="N748" t="s">
        <v>32</v>
      </c>
      <c r="O748">
        <v>60</v>
      </c>
      <c r="P748">
        <v>4.8600000000000003</v>
      </c>
      <c r="Q748">
        <v>25</v>
      </c>
      <c r="R748">
        <v>35</v>
      </c>
      <c r="S748">
        <v>0.48</v>
      </c>
    </row>
    <row r="749" spans="1:19" x14ac:dyDescent="0.25">
      <c r="A749">
        <v>1022</v>
      </c>
      <c r="B749">
        <v>4</v>
      </c>
      <c r="C749" t="s">
        <v>36</v>
      </c>
      <c r="D749">
        <v>5.91</v>
      </c>
      <c r="E749">
        <v>1.0999999999999999E-2</v>
      </c>
      <c r="F749">
        <v>350</v>
      </c>
      <c r="G749">
        <v>150</v>
      </c>
      <c r="H749" t="s">
        <v>22</v>
      </c>
      <c r="I749" t="s">
        <v>22</v>
      </c>
      <c r="J749">
        <v>4500</v>
      </c>
      <c r="K749" t="s">
        <v>22</v>
      </c>
      <c r="L749" t="s">
        <v>22</v>
      </c>
      <c r="M749">
        <v>9.66</v>
      </c>
      <c r="N749" t="s">
        <v>32</v>
      </c>
      <c r="O749">
        <v>60</v>
      </c>
      <c r="P749">
        <v>4.8600000000000003</v>
      </c>
      <c r="Q749">
        <v>25</v>
      </c>
      <c r="R749">
        <v>56</v>
      </c>
      <c r="S749">
        <v>0.5</v>
      </c>
    </row>
    <row r="750" spans="1:19" x14ac:dyDescent="0.25">
      <c r="A750">
        <v>1022</v>
      </c>
      <c r="B750">
        <v>5</v>
      </c>
      <c r="C750" t="s">
        <v>31</v>
      </c>
      <c r="D750">
        <v>5.22</v>
      </c>
      <c r="E750">
        <v>0.26</v>
      </c>
      <c r="F750">
        <v>375</v>
      </c>
      <c r="G750">
        <v>111</v>
      </c>
      <c r="H750" t="s">
        <v>22</v>
      </c>
      <c r="I750" t="s">
        <v>22</v>
      </c>
      <c r="J750">
        <v>4500</v>
      </c>
      <c r="K750" t="s">
        <v>22</v>
      </c>
      <c r="L750" t="s">
        <v>22</v>
      </c>
      <c r="M750">
        <v>9.66</v>
      </c>
      <c r="N750" t="s">
        <v>32</v>
      </c>
      <c r="O750">
        <v>60</v>
      </c>
      <c r="P750">
        <v>5.16</v>
      </c>
      <c r="Q750">
        <v>25</v>
      </c>
      <c r="R750">
        <v>7</v>
      </c>
      <c r="S750">
        <v>0.23</v>
      </c>
    </row>
    <row r="751" spans="1:19" x14ac:dyDescent="0.25">
      <c r="A751">
        <v>1022</v>
      </c>
      <c r="B751">
        <v>5</v>
      </c>
      <c r="C751" t="s">
        <v>31</v>
      </c>
      <c r="D751">
        <v>5.22</v>
      </c>
      <c r="E751">
        <v>0.26</v>
      </c>
      <c r="F751">
        <v>375</v>
      </c>
      <c r="G751">
        <v>111</v>
      </c>
      <c r="H751" t="s">
        <v>22</v>
      </c>
      <c r="I751" t="s">
        <v>22</v>
      </c>
      <c r="J751">
        <v>4500</v>
      </c>
      <c r="K751" t="s">
        <v>22</v>
      </c>
      <c r="L751" t="s">
        <v>22</v>
      </c>
      <c r="M751">
        <v>9.66</v>
      </c>
      <c r="N751" t="s">
        <v>32</v>
      </c>
      <c r="O751">
        <v>60</v>
      </c>
      <c r="P751">
        <v>5.16</v>
      </c>
      <c r="Q751">
        <v>25</v>
      </c>
      <c r="R751">
        <v>14</v>
      </c>
      <c r="S751">
        <v>0.24</v>
      </c>
    </row>
    <row r="752" spans="1:19" x14ac:dyDescent="0.25">
      <c r="A752">
        <v>1022</v>
      </c>
      <c r="B752">
        <v>5</v>
      </c>
      <c r="C752" t="s">
        <v>31</v>
      </c>
      <c r="D752">
        <v>5.22</v>
      </c>
      <c r="E752">
        <v>0.26</v>
      </c>
      <c r="F752">
        <v>375</v>
      </c>
      <c r="G752">
        <v>111</v>
      </c>
      <c r="H752" t="s">
        <v>22</v>
      </c>
      <c r="I752" t="s">
        <v>22</v>
      </c>
      <c r="J752">
        <v>4500</v>
      </c>
      <c r="K752" t="s">
        <v>22</v>
      </c>
      <c r="L752" t="s">
        <v>22</v>
      </c>
      <c r="M752">
        <v>9.66</v>
      </c>
      <c r="N752" t="s">
        <v>32</v>
      </c>
      <c r="O752">
        <v>60</v>
      </c>
      <c r="P752">
        <v>5.16</v>
      </c>
      <c r="Q752">
        <v>25</v>
      </c>
      <c r="R752">
        <v>21</v>
      </c>
      <c r="S752">
        <v>0.32</v>
      </c>
    </row>
    <row r="753" spans="1:19" x14ac:dyDescent="0.25">
      <c r="A753">
        <v>1022</v>
      </c>
      <c r="B753">
        <v>5</v>
      </c>
      <c r="C753" t="s">
        <v>31</v>
      </c>
      <c r="D753">
        <v>5.22</v>
      </c>
      <c r="E753">
        <v>0.26</v>
      </c>
      <c r="F753">
        <v>375</v>
      </c>
      <c r="G753">
        <v>111</v>
      </c>
      <c r="H753" t="s">
        <v>22</v>
      </c>
      <c r="I753" t="s">
        <v>22</v>
      </c>
      <c r="J753">
        <v>4500</v>
      </c>
      <c r="K753" t="s">
        <v>22</v>
      </c>
      <c r="L753" t="s">
        <v>22</v>
      </c>
      <c r="M753">
        <v>9.66</v>
      </c>
      <c r="N753" t="s">
        <v>32</v>
      </c>
      <c r="O753">
        <v>60</v>
      </c>
      <c r="P753">
        <v>5.16</v>
      </c>
      <c r="Q753">
        <v>25</v>
      </c>
      <c r="R753">
        <v>35</v>
      </c>
      <c r="S753">
        <v>0.36</v>
      </c>
    </row>
    <row r="754" spans="1:19" x14ac:dyDescent="0.25">
      <c r="A754">
        <v>1022</v>
      </c>
      <c r="B754">
        <v>5</v>
      </c>
      <c r="C754" t="s">
        <v>31</v>
      </c>
      <c r="D754">
        <v>5.22</v>
      </c>
      <c r="E754">
        <v>0.26</v>
      </c>
      <c r="F754">
        <v>375</v>
      </c>
      <c r="G754">
        <v>111</v>
      </c>
      <c r="H754" t="s">
        <v>22</v>
      </c>
      <c r="I754" t="s">
        <v>22</v>
      </c>
      <c r="J754">
        <v>4500</v>
      </c>
      <c r="K754" t="s">
        <v>22</v>
      </c>
      <c r="L754" t="s">
        <v>22</v>
      </c>
      <c r="M754">
        <v>9.66</v>
      </c>
      <c r="N754" t="s">
        <v>32</v>
      </c>
      <c r="O754">
        <v>60</v>
      </c>
      <c r="P754">
        <v>5.16</v>
      </c>
      <c r="Q754">
        <v>25</v>
      </c>
      <c r="R754">
        <v>56</v>
      </c>
      <c r="S754">
        <v>0.39</v>
      </c>
    </row>
    <row r="755" spans="1:19" x14ac:dyDescent="0.25">
      <c r="A755">
        <v>1022</v>
      </c>
      <c r="B755">
        <v>5</v>
      </c>
      <c r="C755" t="s">
        <v>35</v>
      </c>
      <c r="D755">
        <v>5.18</v>
      </c>
      <c r="E755">
        <v>0.13200000000000001</v>
      </c>
      <c r="F755">
        <v>393</v>
      </c>
      <c r="G755">
        <v>150</v>
      </c>
      <c r="H755" t="s">
        <v>22</v>
      </c>
      <c r="I755" t="s">
        <v>22</v>
      </c>
      <c r="J755">
        <v>4500</v>
      </c>
      <c r="K755" t="s">
        <v>22</v>
      </c>
      <c r="L755" t="s">
        <v>22</v>
      </c>
      <c r="M755">
        <v>9.66</v>
      </c>
      <c r="N755" t="s">
        <v>32</v>
      </c>
      <c r="O755">
        <v>60</v>
      </c>
      <c r="P755">
        <v>3.75</v>
      </c>
      <c r="Q755">
        <v>25</v>
      </c>
      <c r="R755">
        <v>7</v>
      </c>
      <c r="S755">
        <v>0.24</v>
      </c>
    </row>
    <row r="756" spans="1:19" x14ac:dyDescent="0.25">
      <c r="A756">
        <v>1022</v>
      </c>
      <c r="B756">
        <v>5</v>
      </c>
      <c r="C756" t="s">
        <v>35</v>
      </c>
      <c r="D756">
        <v>5.18</v>
      </c>
      <c r="E756">
        <v>0.13200000000000001</v>
      </c>
      <c r="F756">
        <v>393</v>
      </c>
      <c r="G756">
        <v>150</v>
      </c>
      <c r="H756" t="s">
        <v>22</v>
      </c>
      <c r="I756" t="s">
        <v>22</v>
      </c>
      <c r="J756">
        <v>4500</v>
      </c>
      <c r="K756" t="s">
        <v>22</v>
      </c>
      <c r="L756" t="s">
        <v>22</v>
      </c>
      <c r="M756">
        <v>9.66</v>
      </c>
      <c r="N756" t="s">
        <v>32</v>
      </c>
      <c r="O756">
        <v>60</v>
      </c>
      <c r="P756">
        <v>3.75</v>
      </c>
      <c r="Q756">
        <v>25</v>
      </c>
      <c r="R756">
        <v>14</v>
      </c>
      <c r="S756">
        <v>0.26</v>
      </c>
    </row>
    <row r="757" spans="1:19" x14ac:dyDescent="0.25">
      <c r="A757">
        <v>1022</v>
      </c>
      <c r="B757">
        <v>5</v>
      </c>
      <c r="C757" t="s">
        <v>35</v>
      </c>
      <c r="D757">
        <v>5.18</v>
      </c>
      <c r="E757">
        <v>0.13200000000000001</v>
      </c>
      <c r="F757">
        <v>393</v>
      </c>
      <c r="G757">
        <v>150</v>
      </c>
      <c r="H757" t="s">
        <v>22</v>
      </c>
      <c r="I757" t="s">
        <v>22</v>
      </c>
      <c r="J757">
        <v>4500</v>
      </c>
      <c r="K757" t="s">
        <v>22</v>
      </c>
      <c r="L757" t="s">
        <v>22</v>
      </c>
      <c r="M757">
        <v>9.66</v>
      </c>
      <c r="N757" t="s">
        <v>32</v>
      </c>
      <c r="O757">
        <v>60</v>
      </c>
      <c r="P757">
        <v>3.75</v>
      </c>
      <c r="Q757">
        <v>25</v>
      </c>
      <c r="R757">
        <v>21</v>
      </c>
      <c r="S757">
        <v>0.32</v>
      </c>
    </row>
    <row r="758" spans="1:19" x14ac:dyDescent="0.25">
      <c r="A758">
        <v>1022</v>
      </c>
      <c r="B758">
        <v>5</v>
      </c>
      <c r="C758" t="s">
        <v>35</v>
      </c>
      <c r="D758">
        <v>5.18</v>
      </c>
      <c r="E758">
        <v>0.13200000000000001</v>
      </c>
      <c r="F758">
        <v>393</v>
      </c>
      <c r="G758">
        <v>150</v>
      </c>
      <c r="H758" t="s">
        <v>22</v>
      </c>
      <c r="I758" t="s">
        <v>22</v>
      </c>
      <c r="J758">
        <v>4500</v>
      </c>
      <c r="K758" t="s">
        <v>22</v>
      </c>
      <c r="L758" t="s">
        <v>22</v>
      </c>
      <c r="M758">
        <v>9.66</v>
      </c>
      <c r="N758" t="s">
        <v>32</v>
      </c>
      <c r="O758">
        <v>60</v>
      </c>
      <c r="P758">
        <v>3.75</v>
      </c>
      <c r="Q758">
        <v>25</v>
      </c>
      <c r="R758">
        <v>35</v>
      </c>
      <c r="S758">
        <v>0.36</v>
      </c>
    </row>
    <row r="759" spans="1:19" x14ac:dyDescent="0.25">
      <c r="A759">
        <v>1022</v>
      </c>
      <c r="B759">
        <v>5</v>
      </c>
      <c r="C759" t="s">
        <v>35</v>
      </c>
      <c r="D759">
        <v>5.18</v>
      </c>
      <c r="E759">
        <v>0.13200000000000001</v>
      </c>
      <c r="F759">
        <v>393</v>
      </c>
      <c r="G759">
        <v>150</v>
      </c>
      <c r="H759" t="s">
        <v>22</v>
      </c>
      <c r="I759" t="s">
        <v>22</v>
      </c>
      <c r="J759">
        <v>4500</v>
      </c>
      <c r="K759" t="s">
        <v>22</v>
      </c>
      <c r="L759" t="s">
        <v>22</v>
      </c>
      <c r="M759">
        <v>9.66</v>
      </c>
      <c r="N759" t="s">
        <v>32</v>
      </c>
      <c r="O759">
        <v>60</v>
      </c>
      <c r="P759">
        <v>3.75</v>
      </c>
      <c r="Q759">
        <v>25</v>
      </c>
      <c r="R759">
        <v>56</v>
      </c>
      <c r="S759">
        <v>0.4</v>
      </c>
    </row>
    <row r="760" spans="1:19" x14ac:dyDescent="0.25">
      <c r="A760">
        <v>1022</v>
      </c>
      <c r="B760">
        <v>5</v>
      </c>
      <c r="C760" t="s">
        <v>36</v>
      </c>
      <c r="D760">
        <v>5.91</v>
      </c>
      <c r="E760">
        <v>1.0999999999999999E-2</v>
      </c>
      <c r="F760">
        <v>350</v>
      </c>
      <c r="G760">
        <v>150</v>
      </c>
      <c r="H760" t="s">
        <v>22</v>
      </c>
      <c r="I760" t="s">
        <v>22</v>
      </c>
      <c r="J760">
        <v>4500</v>
      </c>
      <c r="K760" t="s">
        <v>22</v>
      </c>
      <c r="L760" t="s">
        <v>22</v>
      </c>
      <c r="M760">
        <v>9.66</v>
      </c>
      <c r="N760" t="s">
        <v>32</v>
      </c>
      <c r="O760">
        <v>60</v>
      </c>
      <c r="P760">
        <v>4.8600000000000003</v>
      </c>
      <c r="Q760">
        <v>25</v>
      </c>
      <c r="R760">
        <v>7</v>
      </c>
      <c r="S760">
        <v>0.42</v>
      </c>
    </row>
    <row r="761" spans="1:19" x14ac:dyDescent="0.25">
      <c r="A761">
        <v>1022</v>
      </c>
      <c r="B761">
        <v>5</v>
      </c>
      <c r="C761" t="s">
        <v>36</v>
      </c>
      <c r="D761">
        <v>5.91</v>
      </c>
      <c r="E761">
        <v>1.0999999999999999E-2</v>
      </c>
      <c r="F761">
        <v>350</v>
      </c>
      <c r="G761">
        <v>150</v>
      </c>
      <c r="H761" t="s">
        <v>22</v>
      </c>
      <c r="I761" t="s">
        <v>22</v>
      </c>
      <c r="J761">
        <v>4500</v>
      </c>
      <c r="K761" t="s">
        <v>22</v>
      </c>
      <c r="L761" t="s">
        <v>22</v>
      </c>
      <c r="M761">
        <v>9.66</v>
      </c>
      <c r="N761" t="s">
        <v>32</v>
      </c>
      <c r="O761">
        <v>60</v>
      </c>
      <c r="P761">
        <v>4.8600000000000003</v>
      </c>
      <c r="Q761">
        <v>25</v>
      </c>
      <c r="R761">
        <v>14</v>
      </c>
      <c r="S761">
        <v>0.43</v>
      </c>
    </row>
    <row r="762" spans="1:19" x14ac:dyDescent="0.25">
      <c r="A762">
        <v>1022</v>
      </c>
      <c r="B762">
        <v>5</v>
      </c>
      <c r="C762" t="s">
        <v>36</v>
      </c>
      <c r="D762">
        <v>5.91</v>
      </c>
      <c r="E762">
        <v>1.0999999999999999E-2</v>
      </c>
      <c r="F762">
        <v>350</v>
      </c>
      <c r="G762">
        <v>150</v>
      </c>
      <c r="H762" t="s">
        <v>22</v>
      </c>
      <c r="I762" t="s">
        <v>22</v>
      </c>
      <c r="J762">
        <v>4500</v>
      </c>
      <c r="K762" t="s">
        <v>22</v>
      </c>
      <c r="L762" t="s">
        <v>22</v>
      </c>
      <c r="M762">
        <v>9.66</v>
      </c>
      <c r="N762" t="s">
        <v>32</v>
      </c>
      <c r="O762">
        <v>60</v>
      </c>
      <c r="P762">
        <v>4.8600000000000003</v>
      </c>
      <c r="Q762">
        <v>25</v>
      </c>
      <c r="R762">
        <v>21</v>
      </c>
      <c r="S762">
        <v>0.45</v>
      </c>
    </row>
    <row r="763" spans="1:19" x14ac:dyDescent="0.25">
      <c r="A763">
        <v>1022</v>
      </c>
      <c r="B763">
        <v>5</v>
      </c>
      <c r="C763" t="s">
        <v>36</v>
      </c>
      <c r="D763">
        <v>5.91</v>
      </c>
      <c r="E763">
        <v>1.0999999999999999E-2</v>
      </c>
      <c r="F763">
        <v>350</v>
      </c>
      <c r="G763">
        <v>150</v>
      </c>
      <c r="H763" t="s">
        <v>22</v>
      </c>
      <c r="I763" t="s">
        <v>22</v>
      </c>
      <c r="J763">
        <v>4500</v>
      </c>
      <c r="K763" t="s">
        <v>22</v>
      </c>
      <c r="L763" t="s">
        <v>22</v>
      </c>
      <c r="M763">
        <v>9.66</v>
      </c>
      <c r="N763" t="s">
        <v>32</v>
      </c>
      <c r="O763">
        <v>60</v>
      </c>
      <c r="P763">
        <v>4.8600000000000003</v>
      </c>
      <c r="Q763">
        <v>25</v>
      </c>
      <c r="R763">
        <v>35</v>
      </c>
      <c r="S763">
        <v>0.46</v>
      </c>
    </row>
    <row r="764" spans="1:19" x14ac:dyDescent="0.25">
      <c r="A764">
        <v>1022</v>
      </c>
      <c r="B764">
        <v>5</v>
      </c>
      <c r="C764" t="s">
        <v>36</v>
      </c>
      <c r="D764">
        <v>5.91</v>
      </c>
      <c r="E764">
        <v>1.0999999999999999E-2</v>
      </c>
      <c r="F764">
        <v>350</v>
      </c>
      <c r="G764">
        <v>150</v>
      </c>
      <c r="H764" t="s">
        <v>22</v>
      </c>
      <c r="I764" t="s">
        <v>22</v>
      </c>
      <c r="J764">
        <v>4500</v>
      </c>
      <c r="K764" t="s">
        <v>22</v>
      </c>
      <c r="L764" t="s">
        <v>22</v>
      </c>
      <c r="M764">
        <v>9.66</v>
      </c>
      <c r="N764" t="s">
        <v>32</v>
      </c>
      <c r="O764">
        <v>60</v>
      </c>
      <c r="P764">
        <v>4.8600000000000003</v>
      </c>
      <c r="Q764">
        <v>25</v>
      </c>
      <c r="R764">
        <v>56</v>
      </c>
      <c r="S764">
        <v>0.52</v>
      </c>
    </row>
    <row r="765" spans="1:19" x14ac:dyDescent="0.25">
      <c r="A765">
        <v>1022</v>
      </c>
      <c r="B765">
        <v>6</v>
      </c>
      <c r="C765" t="s">
        <v>31</v>
      </c>
      <c r="D765">
        <v>5.22</v>
      </c>
      <c r="E765">
        <v>0.26</v>
      </c>
      <c r="F765">
        <v>375</v>
      </c>
      <c r="G765">
        <v>111</v>
      </c>
      <c r="H765" t="s">
        <v>22</v>
      </c>
      <c r="I765" t="s">
        <v>22</v>
      </c>
      <c r="J765">
        <v>4500</v>
      </c>
      <c r="K765" t="s">
        <v>22</v>
      </c>
      <c r="L765" t="s">
        <v>22</v>
      </c>
      <c r="M765">
        <v>9.66</v>
      </c>
      <c r="N765" t="s">
        <v>32</v>
      </c>
      <c r="O765">
        <v>60</v>
      </c>
      <c r="P765">
        <v>5.16</v>
      </c>
      <c r="Q765">
        <v>25</v>
      </c>
      <c r="R765">
        <v>7</v>
      </c>
      <c r="S765">
        <v>0.3</v>
      </c>
    </row>
    <row r="766" spans="1:19" x14ac:dyDescent="0.25">
      <c r="A766">
        <v>1022</v>
      </c>
      <c r="B766">
        <v>6</v>
      </c>
      <c r="C766" t="s">
        <v>31</v>
      </c>
      <c r="D766">
        <v>5.22</v>
      </c>
      <c r="E766">
        <v>0.26</v>
      </c>
      <c r="F766">
        <v>375</v>
      </c>
      <c r="G766">
        <v>111</v>
      </c>
      <c r="H766" t="s">
        <v>22</v>
      </c>
      <c r="I766" t="s">
        <v>22</v>
      </c>
      <c r="J766">
        <v>4500</v>
      </c>
      <c r="K766" t="s">
        <v>22</v>
      </c>
      <c r="L766" t="s">
        <v>22</v>
      </c>
      <c r="M766">
        <v>9.66</v>
      </c>
      <c r="N766" t="s">
        <v>32</v>
      </c>
      <c r="O766">
        <v>60</v>
      </c>
      <c r="P766">
        <v>5.16</v>
      </c>
      <c r="Q766">
        <v>25</v>
      </c>
      <c r="R766">
        <v>14</v>
      </c>
      <c r="S766">
        <v>0.36</v>
      </c>
    </row>
    <row r="767" spans="1:19" x14ac:dyDescent="0.25">
      <c r="A767">
        <v>1022</v>
      </c>
      <c r="B767">
        <v>6</v>
      </c>
      <c r="C767" t="s">
        <v>31</v>
      </c>
      <c r="D767">
        <v>5.22</v>
      </c>
      <c r="E767">
        <v>0.26</v>
      </c>
      <c r="F767">
        <v>375</v>
      </c>
      <c r="G767">
        <v>111</v>
      </c>
      <c r="H767" t="s">
        <v>22</v>
      </c>
      <c r="I767" t="s">
        <v>22</v>
      </c>
      <c r="J767">
        <v>4500</v>
      </c>
      <c r="K767" t="s">
        <v>22</v>
      </c>
      <c r="L767" t="s">
        <v>22</v>
      </c>
      <c r="M767">
        <v>9.66</v>
      </c>
      <c r="N767" t="s">
        <v>32</v>
      </c>
      <c r="O767">
        <v>60</v>
      </c>
      <c r="P767">
        <v>5.16</v>
      </c>
      <c r="Q767">
        <v>25</v>
      </c>
      <c r="R767">
        <v>21</v>
      </c>
      <c r="S767">
        <v>0.4</v>
      </c>
    </row>
    <row r="768" spans="1:19" x14ac:dyDescent="0.25">
      <c r="A768">
        <v>1022</v>
      </c>
      <c r="B768">
        <v>6</v>
      </c>
      <c r="C768" t="s">
        <v>31</v>
      </c>
      <c r="D768">
        <v>5.22</v>
      </c>
      <c r="E768">
        <v>0.26</v>
      </c>
      <c r="F768">
        <v>375</v>
      </c>
      <c r="G768">
        <v>111</v>
      </c>
      <c r="H768" t="s">
        <v>22</v>
      </c>
      <c r="I768" t="s">
        <v>22</v>
      </c>
      <c r="J768">
        <v>4500</v>
      </c>
      <c r="K768" t="s">
        <v>22</v>
      </c>
      <c r="L768" t="s">
        <v>22</v>
      </c>
      <c r="M768">
        <v>9.66</v>
      </c>
      <c r="N768" t="s">
        <v>32</v>
      </c>
      <c r="O768">
        <v>60</v>
      </c>
      <c r="P768">
        <v>5.16</v>
      </c>
      <c r="Q768">
        <v>25</v>
      </c>
      <c r="R768">
        <v>35</v>
      </c>
      <c r="S768">
        <v>0.42</v>
      </c>
    </row>
    <row r="769" spans="1:19" x14ac:dyDescent="0.25">
      <c r="A769">
        <v>1022</v>
      </c>
      <c r="B769">
        <v>6</v>
      </c>
      <c r="C769" t="s">
        <v>31</v>
      </c>
      <c r="D769">
        <v>5.22</v>
      </c>
      <c r="E769">
        <v>0.26</v>
      </c>
      <c r="F769">
        <v>375</v>
      </c>
      <c r="G769">
        <v>111</v>
      </c>
      <c r="H769" t="s">
        <v>22</v>
      </c>
      <c r="I769" t="s">
        <v>22</v>
      </c>
      <c r="J769">
        <v>4500</v>
      </c>
      <c r="K769" t="s">
        <v>22</v>
      </c>
      <c r="L769" t="s">
        <v>22</v>
      </c>
      <c r="M769">
        <v>9.66</v>
      </c>
      <c r="N769" t="s">
        <v>32</v>
      </c>
      <c r="O769">
        <v>60</v>
      </c>
      <c r="P769">
        <v>5.16</v>
      </c>
      <c r="Q769">
        <v>25</v>
      </c>
      <c r="R769">
        <v>56</v>
      </c>
      <c r="S769">
        <v>0.49030000000000001</v>
      </c>
    </row>
    <row r="770" spans="1:19" x14ac:dyDescent="0.25">
      <c r="A770">
        <v>1022</v>
      </c>
      <c r="B770">
        <v>6</v>
      </c>
      <c r="C770" t="s">
        <v>35</v>
      </c>
      <c r="D770">
        <v>5.18</v>
      </c>
      <c r="E770">
        <v>0.13200000000000001</v>
      </c>
      <c r="F770">
        <v>393</v>
      </c>
      <c r="G770">
        <v>150</v>
      </c>
      <c r="H770" t="s">
        <v>22</v>
      </c>
      <c r="I770" t="s">
        <v>22</v>
      </c>
      <c r="J770">
        <v>4500</v>
      </c>
      <c r="K770" t="s">
        <v>22</v>
      </c>
      <c r="L770" t="s">
        <v>22</v>
      </c>
      <c r="M770">
        <v>9.66</v>
      </c>
      <c r="N770" t="s">
        <v>32</v>
      </c>
      <c r="O770">
        <v>60</v>
      </c>
      <c r="P770">
        <v>3.75</v>
      </c>
      <c r="Q770">
        <v>25</v>
      </c>
      <c r="R770">
        <v>7</v>
      </c>
      <c r="S770">
        <v>0.31</v>
      </c>
    </row>
    <row r="771" spans="1:19" x14ac:dyDescent="0.25">
      <c r="A771">
        <v>1022</v>
      </c>
      <c r="B771">
        <v>6</v>
      </c>
      <c r="C771" t="s">
        <v>35</v>
      </c>
      <c r="D771">
        <v>5.18</v>
      </c>
      <c r="E771">
        <v>0.13200000000000001</v>
      </c>
      <c r="F771">
        <v>393</v>
      </c>
      <c r="G771">
        <v>150</v>
      </c>
      <c r="H771" t="s">
        <v>22</v>
      </c>
      <c r="I771" t="s">
        <v>22</v>
      </c>
      <c r="J771">
        <v>4500</v>
      </c>
      <c r="K771" t="s">
        <v>22</v>
      </c>
      <c r="L771" t="s">
        <v>22</v>
      </c>
      <c r="M771">
        <v>9.66</v>
      </c>
      <c r="N771" t="s">
        <v>32</v>
      </c>
      <c r="O771">
        <v>60</v>
      </c>
      <c r="P771">
        <v>3.75</v>
      </c>
      <c r="Q771">
        <v>25</v>
      </c>
      <c r="R771">
        <v>14</v>
      </c>
      <c r="S771">
        <v>0.36</v>
      </c>
    </row>
    <row r="772" spans="1:19" x14ac:dyDescent="0.25">
      <c r="A772">
        <v>1022</v>
      </c>
      <c r="B772">
        <v>6</v>
      </c>
      <c r="C772" t="s">
        <v>35</v>
      </c>
      <c r="D772">
        <v>5.18</v>
      </c>
      <c r="E772">
        <v>0.13200000000000001</v>
      </c>
      <c r="F772">
        <v>393</v>
      </c>
      <c r="G772">
        <v>150</v>
      </c>
      <c r="H772" t="s">
        <v>22</v>
      </c>
      <c r="I772" t="s">
        <v>22</v>
      </c>
      <c r="J772">
        <v>4500</v>
      </c>
      <c r="K772" t="s">
        <v>22</v>
      </c>
      <c r="L772" t="s">
        <v>22</v>
      </c>
      <c r="M772">
        <v>9.66</v>
      </c>
      <c r="N772" t="s">
        <v>32</v>
      </c>
      <c r="O772">
        <v>60</v>
      </c>
      <c r="P772">
        <v>3.75</v>
      </c>
      <c r="Q772">
        <v>25</v>
      </c>
      <c r="R772">
        <v>21</v>
      </c>
      <c r="S772">
        <v>0.41</v>
      </c>
    </row>
    <row r="773" spans="1:19" x14ac:dyDescent="0.25">
      <c r="A773">
        <v>1022</v>
      </c>
      <c r="B773">
        <v>6</v>
      </c>
      <c r="C773" t="s">
        <v>35</v>
      </c>
      <c r="D773">
        <v>5.18</v>
      </c>
      <c r="E773">
        <v>0.13200000000000001</v>
      </c>
      <c r="F773">
        <v>393</v>
      </c>
      <c r="G773">
        <v>150</v>
      </c>
      <c r="H773" t="s">
        <v>22</v>
      </c>
      <c r="I773" t="s">
        <v>22</v>
      </c>
      <c r="J773">
        <v>4500</v>
      </c>
      <c r="K773" t="s">
        <v>22</v>
      </c>
      <c r="L773" t="s">
        <v>22</v>
      </c>
      <c r="M773">
        <v>9.66</v>
      </c>
      <c r="N773" t="s">
        <v>32</v>
      </c>
      <c r="O773">
        <v>60</v>
      </c>
      <c r="P773">
        <v>3.75</v>
      </c>
      <c r="Q773">
        <v>25</v>
      </c>
      <c r="R773">
        <v>35</v>
      </c>
      <c r="S773">
        <v>0.42</v>
      </c>
    </row>
    <row r="774" spans="1:19" x14ac:dyDescent="0.25">
      <c r="A774">
        <v>1022</v>
      </c>
      <c r="B774">
        <v>6</v>
      </c>
      <c r="C774" t="s">
        <v>35</v>
      </c>
      <c r="D774">
        <v>5.18</v>
      </c>
      <c r="E774">
        <v>0.13200000000000001</v>
      </c>
      <c r="F774">
        <v>393</v>
      </c>
      <c r="G774">
        <v>150</v>
      </c>
      <c r="H774" t="s">
        <v>22</v>
      </c>
      <c r="I774" t="s">
        <v>22</v>
      </c>
      <c r="J774">
        <v>4500</v>
      </c>
      <c r="K774" t="s">
        <v>22</v>
      </c>
      <c r="L774" t="s">
        <v>22</v>
      </c>
      <c r="M774">
        <v>9.66</v>
      </c>
      <c r="N774" t="s">
        <v>32</v>
      </c>
      <c r="O774">
        <v>60</v>
      </c>
      <c r="P774">
        <v>3.75</v>
      </c>
      <c r="Q774">
        <v>25</v>
      </c>
      <c r="R774">
        <v>56</v>
      </c>
      <c r="S774">
        <v>0.49030000000000001</v>
      </c>
    </row>
    <row r="775" spans="1:19" x14ac:dyDescent="0.25">
      <c r="A775">
        <v>1022</v>
      </c>
      <c r="B775">
        <v>6</v>
      </c>
      <c r="C775" t="s">
        <v>36</v>
      </c>
      <c r="D775">
        <v>5.91</v>
      </c>
      <c r="E775">
        <v>1.0999999999999999E-2</v>
      </c>
      <c r="F775">
        <v>350</v>
      </c>
      <c r="G775">
        <v>150</v>
      </c>
      <c r="H775" t="s">
        <v>22</v>
      </c>
      <c r="I775" t="s">
        <v>22</v>
      </c>
      <c r="J775">
        <v>4500</v>
      </c>
      <c r="K775" t="s">
        <v>22</v>
      </c>
      <c r="L775" t="s">
        <v>22</v>
      </c>
      <c r="M775">
        <v>9.66</v>
      </c>
      <c r="N775" t="s">
        <v>32</v>
      </c>
      <c r="O775">
        <v>60</v>
      </c>
      <c r="P775">
        <v>4.8600000000000003</v>
      </c>
      <c r="Q775">
        <v>25</v>
      </c>
      <c r="R775">
        <v>7</v>
      </c>
      <c r="S775">
        <v>0.52</v>
      </c>
    </row>
    <row r="776" spans="1:19" x14ac:dyDescent="0.25">
      <c r="A776">
        <v>1022</v>
      </c>
      <c r="B776">
        <v>6</v>
      </c>
      <c r="C776" t="s">
        <v>36</v>
      </c>
      <c r="D776">
        <v>5.91</v>
      </c>
      <c r="E776">
        <v>1.0999999999999999E-2</v>
      </c>
      <c r="F776">
        <v>350</v>
      </c>
      <c r="G776">
        <v>150</v>
      </c>
      <c r="H776" t="s">
        <v>22</v>
      </c>
      <c r="I776" t="s">
        <v>22</v>
      </c>
      <c r="J776">
        <v>4500</v>
      </c>
      <c r="K776" t="s">
        <v>22</v>
      </c>
      <c r="L776" t="s">
        <v>22</v>
      </c>
      <c r="M776">
        <v>9.66</v>
      </c>
      <c r="N776" t="s">
        <v>32</v>
      </c>
      <c r="O776">
        <v>60</v>
      </c>
      <c r="P776">
        <v>4.8600000000000003</v>
      </c>
      <c r="Q776">
        <v>25</v>
      </c>
      <c r="R776">
        <v>14</v>
      </c>
      <c r="S776">
        <v>0.55000000000000004</v>
      </c>
    </row>
    <row r="777" spans="1:19" x14ac:dyDescent="0.25">
      <c r="A777">
        <v>1022</v>
      </c>
      <c r="B777">
        <v>6</v>
      </c>
      <c r="C777" t="s">
        <v>36</v>
      </c>
      <c r="D777">
        <v>5.91</v>
      </c>
      <c r="E777">
        <v>1.0999999999999999E-2</v>
      </c>
      <c r="F777">
        <v>350</v>
      </c>
      <c r="G777">
        <v>150</v>
      </c>
      <c r="H777" t="s">
        <v>22</v>
      </c>
      <c r="I777" t="s">
        <v>22</v>
      </c>
      <c r="J777">
        <v>4500</v>
      </c>
      <c r="K777" t="s">
        <v>22</v>
      </c>
      <c r="L777" t="s">
        <v>22</v>
      </c>
      <c r="M777">
        <v>9.66</v>
      </c>
      <c r="N777" t="s">
        <v>32</v>
      </c>
      <c r="O777">
        <v>60</v>
      </c>
      <c r="P777">
        <v>4.8600000000000003</v>
      </c>
      <c r="Q777">
        <v>25</v>
      </c>
      <c r="R777">
        <v>21</v>
      </c>
      <c r="S777">
        <v>0.56000000000000005</v>
      </c>
    </row>
    <row r="778" spans="1:19" x14ac:dyDescent="0.25">
      <c r="A778">
        <v>1022</v>
      </c>
      <c r="B778">
        <v>6</v>
      </c>
      <c r="C778" t="s">
        <v>36</v>
      </c>
      <c r="D778">
        <v>5.91</v>
      </c>
      <c r="E778">
        <v>1.0999999999999999E-2</v>
      </c>
      <c r="F778">
        <v>350</v>
      </c>
      <c r="G778">
        <v>150</v>
      </c>
      <c r="H778" t="s">
        <v>22</v>
      </c>
      <c r="I778" t="s">
        <v>22</v>
      </c>
      <c r="J778">
        <v>4500</v>
      </c>
      <c r="K778" t="s">
        <v>22</v>
      </c>
      <c r="L778" t="s">
        <v>22</v>
      </c>
      <c r="M778">
        <v>9.66</v>
      </c>
      <c r="N778" t="s">
        <v>32</v>
      </c>
      <c r="O778">
        <v>60</v>
      </c>
      <c r="P778">
        <v>4.8600000000000003</v>
      </c>
      <c r="Q778">
        <v>25</v>
      </c>
      <c r="R778">
        <v>35</v>
      </c>
      <c r="S778">
        <v>0.61</v>
      </c>
    </row>
    <row r="779" spans="1:19" x14ac:dyDescent="0.25">
      <c r="A779">
        <v>1022</v>
      </c>
      <c r="B779">
        <v>6</v>
      </c>
      <c r="C779" t="s">
        <v>36</v>
      </c>
      <c r="D779">
        <v>5.91</v>
      </c>
      <c r="E779">
        <v>1.0999999999999999E-2</v>
      </c>
      <c r="F779">
        <v>350</v>
      </c>
      <c r="G779">
        <v>150</v>
      </c>
      <c r="H779" t="s">
        <v>22</v>
      </c>
      <c r="I779" t="s">
        <v>22</v>
      </c>
      <c r="J779">
        <v>4500</v>
      </c>
      <c r="K779" t="s">
        <v>22</v>
      </c>
      <c r="L779" t="s">
        <v>22</v>
      </c>
      <c r="M779">
        <v>9.66</v>
      </c>
      <c r="N779" t="s">
        <v>32</v>
      </c>
      <c r="O779">
        <v>60</v>
      </c>
      <c r="P779">
        <v>4.8600000000000003</v>
      </c>
      <c r="Q779">
        <v>25</v>
      </c>
      <c r="R779">
        <v>56</v>
      </c>
      <c r="S779">
        <v>0.62460000000000004</v>
      </c>
    </row>
    <row r="780" spans="1:19" x14ac:dyDescent="0.25">
      <c r="A780">
        <v>1022</v>
      </c>
      <c r="B780">
        <v>1</v>
      </c>
      <c r="C780" t="s">
        <v>31</v>
      </c>
      <c r="D780">
        <v>5.22</v>
      </c>
      <c r="E780">
        <v>0.26</v>
      </c>
      <c r="F780">
        <v>375</v>
      </c>
      <c r="G780">
        <v>111</v>
      </c>
      <c r="H780" t="s">
        <v>22</v>
      </c>
      <c r="I780" t="s">
        <v>22</v>
      </c>
      <c r="J780">
        <v>1800</v>
      </c>
      <c r="K780" t="s">
        <v>22</v>
      </c>
      <c r="L780" t="s">
        <v>22</v>
      </c>
      <c r="M780">
        <v>9.66</v>
      </c>
      <c r="N780" t="s">
        <v>32</v>
      </c>
      <c r="O780">
        <v>60</v>
      </c>
      <c r="P780">
        <v>10</v>
      </c>
      <c r="Q780" t="s">
        <v>22</v>
      </c>
      <c r="R780">
        <v>56</v>
      </c>
      <c r="S780">
        <v>0.72119999999999995</v>
      </c>
    </row>
    <row r="781" spans="1:19" x14ac:dyDescent="0.25">
      <c r="A781">
        <v>1022</v>
      </c>
      <c r="B781">
        <v>1</v>
      </c>
      <c r="C781" t="s">
        <v>35</v>
      </c>
      <c r="D781">
        <v>5.18</v>
      </c>
      <c r="E781">
        <v>0.13200000000000001</v>
      </c>
      <c r="F781">
        <v>393</v>
      </c>
      <c r="G781">
        <v>150</v>
      </c>
      <c r="H781" t="s">
        <v>22</v>
      </c>
      <c r="I781" t="s">
        <v>22</v>
      </c>
      <c r="J781">
        <v>1800</v>
      </c>
      <c r="K781" t="s">
        <v>22</v>
      </c>
      <c r="L781" t="s">
        <v>22</v>
      </c>
      <c r="M781">
        <v>9.66</v>
      </c>
      <c r="N781" t="s">
        <v>32</v>
      </c>
      <c r="O781">
        <v>60</v>
      </c>
      <c r="P781">
        <v>10</v>
      </c>
      <c r="Q781" t="s">
        <v>22</v>
      </c>
      <c r="R781">
        <v>56</v>
      </c>
      <c r="S781">
        <v>0.68600000000000005</v>
      </c>
    </row>
    <row r="782" spans="1:19" x14ac:dyDescent="0.25">
      <c r="A782">
        <v>1022</v>
      </c>
      <c r="B782">
        <v>1</v>
      </c>
      <c r="C782" t="s">
        <v>36</v>
      </c>
      <c r="D782">
        <v>5.91</v>
      </c>
      <c r="E782">
        <v>1.0999999999999999E-2</v>
      </c>
      <c r="F782">
        <v>350</v>
      </c>
      <c r="G782">
        <v>150</v>
      </c>
      <c r="H782" t="s">
        <v>22</v>
      </c>
      <c r="I782" t="s">
        <v>22</v>
      </c>
      <c r="J782">
        <v>1800</v>
      </c>
      <c r="K782" t="s">
        <v>22</v>
      </c>
      <c r="L782" t="s">
        <v>22</v>
      </c>
      <c r="M782">
        <v>9.66</v>
      </c>
      <c r="N782" t="s">
        <v>32</v>
      </c>
      <c r="O782">
        <v>60</v>
      </c>
      <c r="P782">
        <v>10</v>
      </c>
      <c r="Q782" t="s">
        <v>22</v>
      </c>
      <c r="R782">
        <v>56</v>
      </c>
      <c r="S782">
        <v>0.87160000000000004</v>
      </c>
    </row>
    <row r="783" spans="1:19" x14ac:dyDescent="0.25">
      <c r="A783">
        <v>1022</v>
      </c>
      <c r="B783">
        <v>1</v>
      </c>
      <c r="C783" t="s">
        <v>31</v>
      </c>
      <c r="D783">
        <v>5.22</v>
      </c>
      <c r="E783">
        <v>0.26</v>
      </c>
      <c r="F783">
        <v>375</v>
      </c>
      <c r="G783">
        <v>111</v>
      </c>
      <c r="H783" t="s">
        <v>22</v>
      </c>
      <c r="I783" t="s">
        <v>22</v>
      </c>
      <c r="J783">
        <v>1800</v>
      </c>
      <c r="K783" t="s">
        <v>22</v>
      </c>
      <c r="L783" t="s">
        <v>22</v>
      </c>
      <c r="M783">
        <v>9.66</v>
      </c>
      <c r="N783" t="s">
        <v>32</v>
      </c>
      <c r="O783">
        <v>60</v>
      </c>
      <c r="P783">
        <v>10</v>
      </c>
      <c r="Q783" t="s">
        <v>22</v>
      </c>
      <c r="R783">
        <v>56</v>
      </c>
      <c r="S783">
        <v>0.49320000000000003</v>
      </c>
    </row>
    <row r="784" spans="1:19" x14ac:dyDescent="0.25">
      <c r="A784">
        <v>1022</v>
      </c>
      <c r="B784">
        <v>1</v>
      </c>
      <c r="C784" t="s">
        <v>35</v>
      </c>
      <c r="D784">
        <v>5.18</v>
      </c>
      <c r="E784">
        <v>0.13200000000000001</v>
      </c>
      <c r="F784">
        <v>393</v>
      </c>
      <c r="G784">
        <v>150</v>
      </c>
      <c r="H784" t="s">
        <v>22</v>
      </c>
      <c r="I784" t="s">
        <v>22</v>
      </c>
      <c r="J784">
        <v>1800</v>
      </c>
      <c r="K784" t="s">
        <v>22</v>
      </c>
      <c r="L784" t="s">
        <v>22</v>
      </c>
      <c r="M784">
        <v>9.66</v>
      </c>
      <c r="N784" t="s">
        <v>32</v>
      </c>
      <c r="O784">
        <v>60</v>
      </c>
      <c r="P784">
        <v>10</v>
      </c>
      <c r="Q784" t="s">
        <v>22</v>
      </c>
      <c r="R784">
        <v>56</v>
      </c>
      <c r="S784">
        <v>0.49030000000000001</v>
      </c>
    </row>
    <row r="785" spans="1:19" x14ac:dyDescent="0.25">
      <c r="A785">
        <v>1022</v>
      </c>
      <c r="B785">
        <v>1</v>
      </c>
      <c r="C785" t="s">
        <v>36</v>
      </c>
      <c r="D785">
        <v>5.91</v>
      </c>
      <c r="E785">
        <v>1.0999999999999999E-2</v>
      </c>
      <c r="F785">
        <v>350</v>
      </c>
      <c r="G785">
        <v>150</v>
      </c>
      <c r="H785" t="s">
        <v>22</v>
      </c>
      <c r="I785" t="s">
        <v>22</v>
      </c>
      <c r="J785">
        <v>1800</v>
      </c>
      <c r="K785" t="s">
        <v>22</v>
      </c>
      <c r="L785" t="s">
        <v>22</v>
      </c>
      <c r="M785">
        <v>9.66</v>
      </c>
      <c r="N785" t="s">
        <v>32</v>
      </c>
      <c r="O785">
        <v>60</v>
      </c>
      <c r="P785">
        <v>10</v>
      </c>
      <c r="Q785" t="s">
        <v>22</v>
      </c>
      <c r="R785">
        <v>56</v>
      </c>
      <c r="S785">
        <v>0.62460000000000004</v>
      </c>
    </row>
    <row r="786" spans="1:19" x14ac:dyDescent="0.25">
      <c r="A786">
        <v>1022</v>
      </c>
      <c r="B786">
        <v>1</v>
      </c>
      <c r="C786" t="s">
        <v>31</v>
      </c>
      <c r="D786">
        <v>5.22</v>
      </c>
      <c r="E786">
        <v>0.26</v>
      </c>
      <c r="F786">
        <v>375</v>
      </c>
      <c r="G786">
        <v>111</v>
      </c>
      <c r="H786" t="s">
        <v>22</v>
      </c>
      <c r="I786" t="s">
        <v>22</v>
      </c>
      <c r="J786">
        <v>1800</v>
      </c>
      <c r="K786" t="s">
        <v>22</v>
      </c>
      <c r="L786" t="s">
        <v>22</v>
      </c>
      <c r="M786">
        <v>9.66</v>
      </c>
      <c r="N786" t="s">
        <v>32</v>
      </c>
      <c r="O786">
        <v>60</v>
      </c>
      <c r="P786">
        <v>10</v>
      </c>
      <c r="Q786" t="s">
        <v>22</v>
      </c>
      <c r="R786">
        <v>7</v>
      </c>
      <c r="S786">
        <v>0.37569999999999998</v>
      </c>
    </row>
    <row r="787" spans="1:19" x14ac:dyDescent="0.25">
      <c r="A787">
        <v>1022</v>
      </c>
      <c r="B787">
        <v>1</v>
      </c>
      <c r="C787" t="s">
        <v>35</v>
      </c>
      <c r="D787">
        <v>5.18</v>
      </c>
      <c r="E787">
        <v>0.13200000000000001</v>
      </c>
      <c r="F787">
        <v>393</v>
      </c>
      <c r="G787">
        <v>150</v>
      </c>
      <c r="H787" t="s">
        <v>22</v>
      </c>
      <c r="I787" t="s">
        <v>22</v>
      </c>
      <c r="J787">
        <v>1800</v>
      </c>
      <c r="K787" t="s">
        <v>22</v>
      </c>
      <c r="L787" t="s">
        <v>22</v>
      </c>
      <c r="M787">
        <v>9.66</v>
      </c>
      <c r="N787" t="s">
        <v>32</v>
      </c>
      <c r="O787">
        <v>60</v>
      </c>
      <c r="P787">
        <v>10</v>
      </c>
      <c r="Q787" t="s">
        <v>22</v>
      </c>
      <c r="R787">
        <v>7</v>
      </c>
      <c r="S787">
        <v>0.3695</v>
      </c>
    </row>
    <row r="788" spans="1:19" x14ac:dyDescent="0.25">
      <c r="A788">
        <v>1022</v>
      </c>
      <c r="B788">
        <v>1</v>
      </c>
      <c r="C788" t="s">
        <v>36</v>
      </c>
      <c r="D788">
        <v>5.91</v>
      </c>
      <c r="E788">
        <v>1.0999999999999999E-2</v>
      </c>
      <c r="F788">
        <v>350</v>
      </c>
      <c r="G788">
        <v>150</v>
      </c>
      <c r="H788" t="s">
        <v>22</v>
      </c>
      <c r="I788" t="s">
        <v>22</v>
      </c>
      <c r="J788">
        <v>1800</v>
      </c>
      <c r="K788" t="s">
        <v>22</v>
      </c>
      <c r="L788" t="s">
        <v>22</v>
      </c>
      <c r="M788">
        <v>9.66</v>
      </c>
      <c r="N788" t="s">
        <v>32</v>
      </c>
      <c r="O788">
        <v>60</v>
      </c>
      <c r="P788">
        <v>10</v>
      </c>
      <c r="Q788" t="s">
        <v>22</v>
      </c>
      <c r="R788">
        <v>7</v>
      </c>
      <c r="S788">
        <v>0.70009999999999994</v>
      </c>
    </row>
    <row r="789" spans="1:19" x14ac:dyDescent="0.25">
      <c r="A789">
        <v>1022</v>
      </c>
      <c r="B789">
        <v>1</v>
      </c>
      <c r="C789" t="s">
        <v>31</v>
      </c>
      <c r="D789">
        <v>5.22</v>
      </c>
      <c r="E789">
        <v>0.26</v>
      </c>
      <c r="F789">
        <v>375</v>
      </c>
      <c r="G789">
        <v>111</v>
      </c>
      <c r="H789" t="s">
        <v>22</v>
      </c>
      <c r="I789" t="s">
        <v>22</v>
      </c>
      <c r="J789">
        <v>1800</v>
      </c>
      <c r="K789" t="s">
        <v>22</v>
      </c>
      <c r="L789" t="s">
        <v>22</v>
      </c>
      <c r="M789">
        <v>9.66</v>
      </c>
      <c r="N789" t="s">
        <v>32</v>
      </c>
      <c r="O789">
        <v>60</v>
      </c>
      <c r="P789">
        <v>10</v>
      </c>
      <c r="Q789" t="s">
        <v>22</v>
      </c>
      <c r="R789">
        <v>56</v>
      </c>
      <c r="S789">
        <v>0.72119999999999995</v>
      </c>
    </row>
    <row r="790" spans="1:19" x14ac:dyDescent="0.25">
      <c r="A790">
        <v>1022</v>
      </c>
      <c r="B790">
        <v>1</v>
      </c>
      <c r="C790" t="s">
        <v>35</v>
      </c>
      <c r="D790">
        <v>5.18</v>
      </c>
      <c r="E790">
        <v>0.13200000000000001</v>
      </c>
      <c r="F790">
        <v>393</v>
      </c>
      <c r="G790">
        <v>150</v>
      </c>
      <c r="H790" t="s">
        <v>22</v>
      </c>
      <c r="I790" t="s">
        <v>22</v>
      </c>
      <c r="J790">
        <v>1800</v>
      </c>
      <c r="K790" t="s">
        <v>22</v>
      </c>
      <c r="L790" t="s">
        <v>22</v>
      </c>
      <c r="M790">
        <v>9.66</v>
      </c>
      <c r="N790" t="s">
        <v>32</v>
      </c>
      <c r="O790">
        <v>60</v>
      </c>
      <c r="P790">
        <v>10</v>
      </c>
      <c r="Q790" t="s">
        <v>22</v>
      </c>
      <c r="R790">
        <v>56</v>
      </c>
      <c r="S790">
        <v>0.68600000000000005</v>
      </c>
    </row>
    <row r="791" spans="1:19" x14ac:dyDescent="0.25">
      <c r="A791">
        <v>1022</v>
      </c>
      <c r="B791">
        <v>1</v>
      </c>
      <c r="C791" t="s">
        <v>36</v>
      </c>
      <c r="D791">
        <v>5.91</v>
      </c>
      <c r="E791">
        <v>1.0999999999999999E-2</v>
      </c>
      <c r="F791">
        <v>350</v>
      </c>
      <c r="G791">
        <v>150</v>
      </c>
      <c r="H791" t="s">
        <v>22</v>
      </c>
      <c r="I791" t="s">
        <v>22</v>
      </c>
      <c r="J791">
        <v>1800</v>
      </c>
      <c r="K791" t="s">
        <v>22</v>
      </c>
      <c r="L791" t="s">
        <v>22</v>
      </c>
      <c r="M791">
        <v>9.66</v>
      </c>
      <c r="N791" t="s">
        <v>32</v>
      </c>
      <c r="O791">
        <v>60</v>
      </c>
      <c r="P791">
        <v>10</v>
      </c>
      <c r="Q791" t="s">
        <v>22</v>
      </c>
      <c r="R791">
        <v>56</v>
      </c>
      <c r="S791">
        <v>0.87160000000000004</v>
      </c>
    </row>
    <row r="792" spans="1:19" x14ac:dyDescent="0.25">
      <c r="A792">
        <v>1022</v>
      </c>
      <c r="B792">
        <v>1</v>
      </c>
      <c r="C792" t="s">
        <v>31</v>
      </c>
      <c r="D792">
        <v>5.22</v>
      </c>
      <c r="E792">
        <v>0.26</v>
      </c>
      <c r="F792">
        <v>375</v>
      </c>
      <c r="G792">
        <v>111</v>
      </c>
      <c r="H792" t="s">
        <v>22</v>
      </c>
      <c r="I792" t="s">
        <v>22</v>
      </c>
      <c r="J792">
        <v>1800</v>
      </c>
      <c r="K792" t="s">
        <v>22</v>
      </c>
      <c r="L792" t="s">
        <v>22</v>
      </c>
      <c r="M792">
        <v>9.66</v>
      </c>
      <c r="N792" t="s">
        <v>32</v>
      </c>
      <c r="O792">
        <v>60</v>
      </c>
      <c r="P792">
        <v>10</v>
      </c>
      <c r="Q792" t="s">
        <v>22</v>
      </c>
      <c r="R792">
        <v>8</v>
      </c>
      <c r="S792">
        <v>0.22720000000000001</v>
      </c>
    </row>
    <row r="793" spans="1:19" x14ac:dyDescent="0.25">
      <c r="A793">
        <v>1022</v>
      </c>
      <c r="B793">
        <v>1</v>
      </c>
      <c r="C793" t="str">
        <f>C792</f>
        <v>荧蒽</v>
      </c>
      <c r="D793">
        <v>5.22</v>
      </c>
      <c r="E793">
        <v>0.26</v>
      </c>
      <c r="F793">
        <v>375</v>
      </c>
      <c r="G793">
        <v>111</v>
      </c>
      <c r="H793" t="s">
        <v>22</v>
      </c>
      <c r="I793" t="s">
        <v>22</v>
      </c>
      <c r="J793">
        <v>1800</v>
      </c>
      <c r="K793" t="s">
        <v>22</v>
      </c>
      <c r="L793" t="s">
        <v>22</v>
      </c>
      <c r="M793">
        <v>9.66</v>
      </c>
      <c r="N793" t="s">
        <v>32</v>
      </c>
      <c r="O793">
        <v>60</v>
      </c>
      <c r="P793">
        <v>10</v>
      </c>
      <c r="Q793" t="s">
        <v>22</v>
      </c>
      <c r="R793">
        <v>14</v>
      </c>
      <c r="S793">
        <v>0.2727</v>
      </c>
    </row>
    <row r="794" spans="1:19" x14ac:dyDescent="0.25">
      <c r="A794">
        <v>1022</v>
      </c>
      <c r="B794">
        <v>1</v>
      </c>
      <c r="C794" t="str">
        <f>C793</f>
        <v>荧蒽</v>
      </c>
      <c r="D794">
        <v>5.22</v>
      </c>
      <c r="E794">
        <v>0.26</v>
      </c>
      <c r="F794">
        <v>375</v>
      </c>
      <c r="G794">
        <v>111</v>
      </c>
      <c r="H794" t="s">
        <v>22</v>
      </c>
      <c r="I794" t="s">
        <v>22</v>
      </c>
      <c r="J794">
        <v>1800</v>
      </c>
      <c r="K794" t="s">
        <v>22</v>
      </c>
      <c r="L794" t="s">
        <v>22</v>
      </c>
      <c r="M794">
        <v>9.66</v>
      </c>
      <c r="N794" t="s">
        <v>32</v>
      </c>
      <c r="O794">
        <v>60</v>
      </c>
      <c r="P794">
        <v>10</v>
      </c>
      <c r="Q794" t="s">
        <v>22</v>
      </c>
      <c r="R794">
        <v>20</v>
      </c>
      <c r="S794">
        <v>0.34089999999999998</v>
      </c>
    </row>
    <row r="795" spans="1:19" x14ac:dyDescent="0.25">
      <c r="A795">
        <v>1022</v>
      </c>
      <c r="B795">
        <v>1</v>
      </c>
      <c r="C795" t="str">
        <f>C794</f>
        <v>荧蒽</v>
      </c>
      <c r="D795">
        <v>5.22</v>
      </c>
      <c r="E795">
        <v>0.26</v>
      </c>
      <c r="F795">
        <v>375</v>
      </c>
      <c r="G795">
        <v>111</v>
      </c>
      <c r="H795" t="s">
        <v>22</v>
      </c>
      <c r="I795" t="s">
        <v>22</v>
      </c>
      <c r="J795">
        <v>1800</v>
      </c>
      <c r="K795" t="s">
        <v>22</v>
      </c>
      <c r="L795" t="s">
        <v>22</v>
      </c>
      <c r="M795">
        <v>9.66</v>
      </c>
      <c r="N795" t="s">
        <v>32</v>
      </c>
      <c r="O795">
        <v>60</v>
      </c>
      <c r="P795">
        <v>10</v>
      </c>
      <c r="Q795" t="s">
        <v>22</v>
      </c>
      <c r="R795">
        <v>35</v>
      </c>
      <c r="S795">
        <v>0.44540000000000002</v>
      </c>
    </row>
    <row r="796" spans="1:19" x14ac:dyDescent="0.25">
      <c r="A796">
        <v>1022</v>
      </c>
      <c r="B796">
        <v>1</v>
      </c>
      <c r="C796" t="str">
        <f>C795</f>
        <v>荧蒽</v>
      </c>
      <c r="D796">
        <v>5.22</v>
      </c>
      <c r="E796">
        <v>0.26</v>
      </c>
      <c r="F796">
        <v>375</v>
      </c>
      <c r="G796">
        <v>111</v>
      </c>
      <c r="H796" t="s">
        <v>22</v>
      </c>
      <c r="I796" t="s">
        <v>22</v>
      </c>
      <c r="J796">
        <v>1800</v>
      </c>
      <c r="K796" t="s">
        <v>22</v>
      </c>
      <c r="L796" t="s">
        <v>22</v>
      </c>
      <c r="M796">
        <v>9.66</v>
      </c>
      <c r="N796" t="s">
        <v>32</v>
      </c>
      <c r="O796">
        <v>60</v>
      </c>
      <c r="P796">
        <v>10</v>
      </c>
      <c r="Q796" t="s">
        <v>22</v>
      </c>
      <c r="R796">
        <v>56</v>
      </c>
      <c r="S796">
        <v>0.52270000000000005</v>
      </c>
    </row>
    <row r="797" spans="1:19" x14ac:dyDescent="0.25">
      <c r="A797">
        <v>1022</v>
      </c>
      <c r="B797">
        <v>1</v>
      </c>
      <c r="C797" t="s">
        <v>35</v>
      </c>
      <c r="D797">
        <v>5.18</v>
      </c>
      <c r="E797">
        <v>0.13200000000000001</v>
      </c>
      <c r="F797">
        <v>393</v>
      </c>
      <c r="G797">
        <v>150</v>
      </c>
      <c r="H797" t="s">
        <v>22</v>
      </c>
      <c r="I797" t="s">
        <v>22</v>
      </c>
      <c r="J797">
        <v>1800</v>
      </c>
      <c r="K797" t="s">
        <v>22</v>
      </c>
      <c r="L797" t="s">
        <v>22</v>
      </c>
      <c r="M797">
        <v>9.66</v>
      </c>
      <c r="N797" t="s">
        <v>32</v>
      </c>
      <c r="O797">
        <v>60</v>
      </c>
      <c r="P797">
        <v>10</v>
      </c>
      <c r="Q797" t="s">
        <v>22</v>
      </c>
      <c r="R797">
        <v>8</v>
      </c>
      <c r="S797">
        <v>0.2772</v>
      </c>
    </row>
    <row r="798" spans="1:19" x14ac:dyDescent="0.25">
      <c r="A798">
        <v>1022</v>
      </c>
      <c r="B798">
        <v>1</v>
      </c>
      <c r="C798" t="str">
        <f>C797</f>
        <v>芘</v>
      </c>
      <c r="D798">
        <v>5.18</v>
      </c>
      <c r="E798">
        <v>0.13200000000000001</v>
      </c>
      <c r="F798">
        <v>393</v>
      </c>
      <c r="G798">
        <v>150</v>
      </c>
      <c r="H798" t="s">
        <v>22</v>
      </c>
      <c r="I798" t="s">
        <v>22</v>
      </c>
      <c r="J798">
        <v>1800</v>
      </c>
      <c r="K798" t="s">
        <v>22</v>
      </c>
      <c r="L798" t="s">
        <v>22</v>
      </c>
      <c r="M798">
        <v>9.66</v>
      </c>
      <c r="N798" t="s">
        <v>32</v>
      </c>
      <c r="O798">
        <v>60</v>
      </c>
      <c r="P798">
        <v>10</v>
      </c>
      <c r="Q798" t="s">
        <v>22</v>
      </c>
      <c r="R798">
        <v>14</v>
      </c>
      <c r="S798">
        <v>0.36359999999999998</v>
      </c>
    </row>
    <row r="799" spans="1:19" x14ac:dyDescent="0.25">
      <c r="A799">
        <v>1022</v>
      </c>
      <c r="B799">
        <v>1</v>
      </c>
      <c r="C799" t="str">
        <f>C798</f>
        <v>芘</v>
      </c>
      <c r="D799">
        <v>5.18</v>
      </c>
      <c r="E799">
        <v>0.13200000000000001</v>
      </c>
      <c r="F799">
        <v>393</v>
      </c>
      <c r="G799">
        <v>150</v>
      </c>
      <c r="H799" t="s">
        <v>22</v>
      </c>
      <c r="I799" t="s">
        <v>22</v>
      </c>
      <c r="J799">
        <v>1800</v>
      </c>
      <c r="K799" t="s">
        <v>22</v>
      </c>
      <c r="L799" t="s">
        <v>22</v>
      </c>
      <c r="M799">
        <v>9.66</v>
      </c>
      <c r="N799" t="s">
        <v>32</v>
      </c>
      <c r="O799">
        <v>60</v>
      </c>
      <c r="P799">
        <v>10</v>
      </c>
      <c r="Q799" t="s">
        <v>22</v>
      </c>
      <c r="R799">
        <v>20</v>
      </c>
      <c r="S799">
        <v>0.41360000000000002</v>
      </c>
    </row>
    <row r="800" spans="1:19" x14ac:dyDescent="0.25">
      <c r="A800">
        <v>1022</v>
      </c>
      <c r="B800">
        <v>1</v>
      </c>
      <c r="C800" t="str">
        <f>C799</f>
        <v>芘</v>
      </c>
      <c r="D800">
        <v>5.18</v>
      </c>
      <c r="E800">
        <v>0.13200000000000001</v>
      </c>
      <c r="F800">
        <v>393</v>
      </c>
      <c r="G800">
        <v>150</v>
      </c>
      <c r="H800" t="s">
        <v>22</v>
      </c>
      <c r="I800" t="s">
        <v>22</v>
      </c>
      <c r="J800">
        <v>1800</v>
      </c>
      <c r="K800" t="s">
        <v>22</v>
      </c>
      <c r="L800" t="s">
        <v>22</v>
      </c>
      <c r="M800">
        <v>9.66</v>
      </c>
      <c r="N800" t="s">
        <v>32</v>
      </c>
      <c r="O800">
        <v>60</v>
      </c>
      <c r="P800">
        <v>10</v>
      </c>
      <c r="Q800" t="s">
        <v>22</v>
      </c>
      <c r="R800">
        <v>35</v>
      </c>
      <c r="S800">
        <v>0.41360000000000002</v>
      </c>
    </row>
    <row r="801" spans="1:19" x14ac:dyDescent="0.25">
      <c r="A801">
        <v>1022</v>
      </c>
      <c r="B801">
        <v>1</v>
      </c>
      <c r="C801" t="str">
        <f>C800</f>
        <v>芘</v>
      </c>
      <c r="D801">
        <v>5.18</v>
      </c>
      <c r="E801">
        <v>0.13200000000000001</v>
      </c>
      <c r="F801">
        <v>393</v>
      </c>
      <c r="G801">
        <v>150</v>
      </c>
      <c r="H801" t="s">
        <v>22</v>
      </c>
      <c r="I801" t="s">
        <v>22</v>
      </c>
      <c r="J801">
        <v>1800</v>
      </c>
      <c r="K801" t="s">
        <v>22</v>
      </c>
      <c r="L801" t="s">
        <v>22</v>
      </c>
      <c r="M801">
        <v>9.66</v>
      </c>
      <c r="N801" t="s">
        <v>32</v>
      </c>
      <c r="O801">
        <v>60</v>
      </c>
      <c r="P801">
        <v>10</v>
      </c>
      <c r="Q801" t="s">
        <v>22</v>
      </c>
      <c r="R801">
        <v>56</v>
      </c>
      <c r="S801">
        <v>0.53180000000000005</v>
      </c>
    </row>
    <row r="802" spans="1:19" x14ac:dyDescent="0.25">
      <c r="A802">
        <v>1022</v>
      </c>
      <c r="B802">
        <v>1</v>
      </c>
      <c r="C802" t="s">
        <v>36</v>
      </c>
      <c r="D802">
        <v>5.91</v>
      </c>
      <c r="E802">
        <v>1.0999999999999999E-2</v>
      </c>
      <c r="F802">
        <v>350</v>
      </c>
      <c r="G802">
        <v>150</v>
      </c>
      <c r="H802" t="s">
        <v>22</v>
      </c>
      <c r="I802" t="s">
        <v>22</v>
      </c>
      <c r="J802">
        <v>1800</v>
      </c>
      <c r="K802" t="s">
        <v>22</v>
      </c>
      <c r="L802" t="s">
        <v>22</v>
      </c>
      <c r="M802">
        <v>9.66</v>
      </c>
      <c r="N802" t="s">
        <v>32</v>
      </c>
      <c r="O802">
        <v>60</v>
      </c>
      <c r="P802">
        <v>10</v>
      </c>
      <c r="Q802" t="s">
        <v>22</v>
      </c>
      <c r="R802">
        <v>8</v>
      </c>
      <c r="S802">
        <v>0.34089999999999998</v>
      </c>
    </row>
    <row r="803" spans="1:19" x14ac:dyDescent="0.25">
      <c r="A803">
        <v>1022</v>
      </c>
      <c r="B803">
        <v>1</v>
      </c>
      <c r="C803" t="str">
        <f>C802</f>
        <v>苯并[a]蒽</v>
      </c>
      <c r="D803">
        <v>5.91</v>
      </c>
      <c r="E803">
        <v>1.0999999999999999E-2</v>
      </c>
      <c r="F803">
        <v>350</v>
      </c>
      <c r="G803">
        <v>150</v>
      </c>
      <c r="H803" t="s">
        <v>22</v>
      </c>
      <c r="I803" t="s">
        <v>22</v>
      </c>
      <c r="J803">
        <v>1800</v>
      </c>
      <c r="K803" t="s">
        <v>22</v>
      </c>
      <c r="L803" t="s">
        <v>22</v>
      </c>
      <c r="M803">
        <v>9.66</v>
      </c>
      <c r="N803" t="s">
        <v>32</v>
      </c>
      <c r="O803">
        <v>60</v>
      </c>
      <c r="P803">
        <v>10</v>
      </c>
      <c r="Q803" t="s">
        <v>22</v>
      </c>
      <c r="R803">
        <v>14</v>
      </c>
      <c r="S803">
        <v>0.4909</v>
      </c>
    </row>
    <row r="804" spans="1:19" x14ac:dyDescent="0.25">
      <c r="A804">
        <v>1022</v>
      </c>
      <c r="B804">
        <v>1</v>
      </c>
      <c r="C804" t="str">
        <f>C803</f>
        <v>苯并[a]蒽</v>
      </c>
      <c r="D804">
        <v>5.91</v>
      </c>
      <c r="E804">
        <v>1.0999999999999999E-2</v>
      </c>
      <c r="F804">
        <v>350</v>
      </c>
      <c r="G804">
        <v>150</v>
      </c>
      <c r="H804" t="s">
        <v>22</v>
      </c>
      <c r="I804" t="s">
        <v>22</v>
      </c>
      <c r="J804">
        <v>1800</v>
      </c>
      <c r="K804" t="s">
        <v>22</v>
      </c>
      <c r="L804" t="s">
        <v>22</v>
      </c>
      <c r="M804">
        <v>9.66</v>
      </c>
      <c r="N804" t="s">
        <v>32</v>
      </c>
      <c r="O804">
        <v>60</v>
      </c>
      <c r="P804">
        <v>10</v>
      </c>
      <c r="Q804" t="s">
        <v>22</v>
      </c>
      <c r="R804">
        <v>20</v>
      </c>
      <c r="S804">
        <v>0.59089999999999998</v>
      </c>
    </row>
    <row r="805" spans="1:19" x14ac:dyDescent="0.25">
      <c r="A805">
        <v>1022</v>
      </c>
      <c r="B805">
        <v>1</v>
      </c>
      <c r="C805" t="str">
        <f>C804</f>
        <v>苯并[a]蒽</v>
      </c>
      <c r="D805">
        <v>5.91</v>
      </c>
      <c r="E805">
        <v>1.0999999999999999E-2</v>
      </c>
      <c r="F805">
        <v>350</v>
      </c>
      <c r="G805">
        <v>150</v>
      </c>
      <c r="H805" t="s">
        <v>22</v>
      </c>
      <c r="I805" t="s">
        <v>22</v>
      </c>
      <c r="J805">
        <v>1800</v>
      </c>
      <c r="K805" t="s">
        <v>22</v>
      </c>
      <c r="L805" t="s">
        <v>22</v>
      </c>
      <c r="M805">
        <v>9.66</v>
      </c>
      <c r="N805" t="s">
        <v>32</v>
      </c>
      <c r="O805">
        <v>60</v>
      </c>
      <c r="P805">
        <v>10</v>
      </c>
      <c r="Q805" t="s">
        <v>22</v>
      </c>
      <c r="R805">
        <v>35</v>
      </c>
      <c r="S805">
        <v>0.63629999999999998</v>
      </c>
    </row>
    <row r="806" spans="1:19" x14ac:dyDescent="0.25">
      <c r="A806">
        <v>1022</v>
      </c>
      <c r="B806">
        <v>1</v>
      </c>
      <c r="C806" t="str">
        <f>C805</f>
        <v>苯并[a]蒽</v>
      </c>
      <c r="D806">
        <v>5.91</v>
      </c>
      <c r="E806">
        <v>1.0999999999999999E-2</v>
      </c>
      <c r="F806">
        <v>350</v>
      </c>
      <c r="G806">
        <v>150</v>
      </c>
      <c r="H806" t="s">
        <v>22</v>
      </c>
      <c r="I806" t="s">
        <v>22</v>
      </c>
      <c r="J806">
        <v>1800</v>
      </c>
      <c r="K806" t="s">
        <v>22</v>
      </c>
      <c r="L806" t="s">
        <v>22</v>
      </c>
      <c r="M806">
        <v>9.66</v>
      </c>
      <c r="N806" t="s">
        <v>32</v>
      </c>
      <c r="O806">
        <v>60</v>
      </c>
      <c r="P806">
        <v>10</v>
      </c>
      <c r="Q806" t="s">
        <v>22</v>
      </c>
      <c r="R806">
        <v>56</v>
      </c>
      <c r="S806">
        <v>0.69089999999999996</v>
      </c>
    </row>
    <row r="807" spans="1:19" x14ac:dyDescent="0.25">
      <c r="A807">
        <v>1022</v>
      </c>
      <c r="B807">
        <v>1</v>
      </c>
      <c r="C807" t="s">
        <v>31</v>
      </c>
      <c r="D807">
        <v>5.22</v>
      </c>
      <c r="E807">
        <v>0.26</v>
      </c>
      <c r="F807">
        <v>375</v>
      </c>
      <c r="G807">
        <v>111</v>
      </c>
      <c r="H807" t="s">
        <v>22</v>
      </c>
      <c r="I807" t="s">
        <v>22</v>
      </c>
      <c r="J807">
        <v>1800</v>
      </c>
      <c r="K807" t="s">
        <v>22</v>
      </c>
      <c r="L807" t="s">
        <v>22</v>
      </c>
      <c r="M807">
        <v>9.66</v>
      </c>
      <c r="N807" t="s">
        <v>32</v>
      </c>
      <c r="O807">
        <v>60</v>
      </c>
      <c r="P807">
        <v>10</v>
      </c>
      <c r="Q807" t="s">
        <v>22</v>
      </c>
      <c r="R807">
        <v>8</v>
      </c>
      <c r="S807">
        <v>0.58079999999999998</v>
      </c>
    </row>
    <row r="808" spans="1:19" x14ac:dyDescent="0.25">
      <c r="A808">
        <v>1022</v>
      </c>
      <c r="B808">
        <v>1</v>
      </c>
      <c r="C808" t="str">
        <f>C807</f>
        <v>荧蒽</v>
      </c>
      <c r="D808">
        <v>5.22</v>
      </c>
      <c r="E808">
        <v>0.26</v>
      </c>
      <c r="F808">
        <v>375</v>
      </c>
      <c r="G808">
        <v>111</v>
      </c>
      <c r="H808" t="s">
        <v>22</v>
      </c>
      <c r="I808" t="s">
        <v>22</v>
      </c>
      <c r="J808">
        <v>1800</v>
      </c>
      <c r="K808" t="s">
        <v>22</v>
      </c>
      <c r="L808" t="s">
        <v>22</v>
      </c>
      <c r="M808">
        <v>9.66</v>
      </c>
      <c r="N808" t="s">
        <v>32</v>
      </c>
      <c r="O808">
        <v>60</v>
      </c>
      <c r="P808">
        <v>10</v>
      </c>
      <c r="Q808" t="s">
        <v>22</v>
      </c>
      <c r="R808">
        <v>14</v>
      </c>
      <c r="S808">
        <v>0.5454</v>
      </c>
    </row>
    <row r="809" spans="1:19" x14ac:dyDescent="0.25">
      <c r="A809">
        <v>1022</v>
      </c>
      <c r="B809">
        <v>1</v>
      </c>
      <c r="C809" t="str">
        <f>C808</f>
        <v>荧蒽</v>
      </c>
      <c r="D809">
        <v>5.22</v>
      </c>
      <c r="E809">
        <v>0.26</v>
      </c>
      <c r="F809">
        <v>375</v>
      </c>
      <c r="G809">
        <v>111</v>
      </c>
      <c r="H809" t="s">
        <v>22</v>
      </c>
      <c r="I809" t="s">
        <v>22</v>
      </c>
      <c r="J809">
        <v>1800</v>
      </c>
      <c r="K809" t="s">
        <v>22</v>
      </c>
      <c r="L809" t="s">
        <v>22</v>
      </c>
      <c r="M809">
        <v>9.66</v>
      </c>
      <c r="N809" t="s">
        <v>32</v>
      </c>
      <c r="O809">
        <v>60</v>
      </c>
      <c r="P809">
        <v>10</v>
      </c>
      <c r="Q809" t="s">
        <v>22</v>
      </c>
      <c r="R809">
        <v>20</v>
      </c>
      <c r="S809">
        <v>0.70199999999999996</v>
      </c>
    </row>
    <row r="810" spans="1:19" x14ac:dyDescent="0.25">
      <c r="A810">
        <v>1022</v>
      </c>
      <c r="B810">
        <v>1</v>
      </c>
      <c r="C810" t="str">
        <f>C809</f>
        <v>荧蒽</v>
      </c>
      <c r="D810">
        <v>5.22</v>
      </c>
      <c r="E810">
        <v>0.26</v>
      </c>
      <c r="F810">
        <v>375</v>
      </c>
      <c r="G810">
        <v>111</v>
      </c>
      <c r="H810" t="s">
        <v>22</v>
      </c>
      <c r="I810" t="s">
        <v>22</v>
      </c>
      <c r="J810">
        <v>1800</v>
      </c>
      <c r="K810" t="s">
        <v>22</v>
      </c>
      <c r="L810" t="s">
        <v>22</v>
      </c>
      <c r="M810">
        <v>9.66</v>
      </c>
      <c r="N810" t="s">
        <v>32</v>
      </c>
      <c r="O810">
        <v>60</v>
      </c>
      <c r="P810">
        <v>10</v>
      </c>
      <c r="Q810" t="s">
        <v>22</v>
      </c>
      <c r="R810">
        <v>35</v>
      </c>
      <c r="S810">
        <v>0.4002</v>
      </c>
    </row>
    <row r="811" spans="1:19" x14ac:dyDescent="0.25">
      <c r="A811">
        <v>1022</v>
      </c>
      <c r="B811">
        <v>1</v>
      </c>
      <c r="C811" t="str">
        <f>C810</f>
        <v>荧蒽</v>
      </c>
      <c r="D811">
        <v>5.22</v>
      </c>
      <c r="E811">
        <v>0.26</v>
      </c>
      <c r="F811">
        <v>375</v>
      </c>
      <c r="G811">
        <v>111</v>
      </c>
      <c r="H811" t="s">
        <v>22</v>
      </c>
      <c r="I811" t="s">
        <v>22</v>
      </c>
      <c r="J811">
        <v>1800</v>
      </c>
      <c r="K811" t="s">
        <v>22</v>
      </c>
      <c r="L811" t="s">
        <v>22</v>
      </c>
      <c r="M811">
        <v>9.66</v>
      </c>
      <c r="N811" t="s">
        <v>32</v>
      </c>
      <c r="O811">
        <v>60</v>
      </c>
      <c r="P811">
        <v>10</v>
      </c>
      <c r="Q811" t="s">
        <v>22</v>
      </c>
      <c r="R811">
        <v>56</v>
      </c>
      <c r="S811">
        <v>0.4002</v>
      </c>
    </row>
    <row r="812" spans="1:19" x14ac:dyDescent="0.25">
      <c r="A812">
        <v>1022</v>
      </c>
      <c r="B812">
        <v>1</v>
      </c>
      <c r="C812" t="s">
        <v>35</v>
      </c>
      <c r="D812">
        <v>5.18</v>
      </c>
      <c r="E812">
        <v>0.13200000000000001</v>
      </c>
      <c r="F812">
        <v>393</v>
      </c>
      <c r="G812">
        <v>150</v>
      </c>
      <c r="H812" t="s">
        <v>22</v>
      </c>
      <c r="I812" t="s">
        <v>22</v>
      </c>
      <c r="J812">
        <v>1800</v>
      </c>
      <c r="K812" t="s">
        <v>22</v>
      </c>
      <c r="L812" t="s">
        <v>22</v>
      </c>
      <c r="M812">
        <v>9.66</v>
      </c>
      <c r="N812" t="s">
        <v>32</v>
      </c>
      <c r="O812">
        <v>60</v>
      </c>
      <c r="P812">
        <v>10</v>
      </c>
      <c r="Q812" t="s">
        <v>22</v>
      </c>
      <c r="R812">
        <v>8</v>
      </c>
      <c r="S812">
        <v>0.71209999999999996</v>
      </c>
    </row>
    <row r="813" spans="1:19" x14ac:dyDescent="0.25">
      <c r="A813">
        <v>1022</v>
      </c>
      <c r="B813">
        <v>1</v>
      </c>
      <c r="C813" t="str">
        <f>C812</f>
        <v>芘</v>
      </c>
      <c r="D813">
        <v>5.18</v>
      </c>
      <c r="E813">
        <v>0.13200000000000001</v>
      </c>
      <c r="F813">
        <v>393</v>
      </c>
      <c r="G813">
        <v>150</v>
      </c>
      <c r="H813" t="s">
        <v>22</v>
      </c>
      <c r="I813" t="s">
        <v>22</v>
      </c>
      <c r="J813">
        <v>1800</v>
      </c>
      <c r="K813" t="s">
        <v>22</v>
      </c>
      <c r="L813" t="s">
        <v>22</v>
      </c>
      <c r="M813">
        <v>9.66</v>
      </c>
      <c r="N813" t="s">
        <v>32</v>
      </c>
      <c r="O813">
        <v>60</v>
      </c>
      <c r="P813">
        <v>10</v>
      </c>
      <c r="Q813" t="s">
        <v>22</v>
      </c>
      <c r="R813">
        <v>14</v>
      </c>
      <c r="S813">
        <v>0.42849999999999999</v>
      </c>
    </row>
    <row r="814" spans="1:19" x14ac:dyDescent="0.25">
      <c r="A814">
        <v>1022</v>
      </c>
      <c r="B814">
        <v>1</v>
      </c>
      <c r="C814" t="str">
        <f>C813</f>
        <v>芘</v>
      </c>
      <c r="D814">
        <v>5.18</v>
      </c>
      <c r="E814">
        <v>0.13200000000000001</v>
      </c>
      <c r="F814">
        <v>393</v>
      </c>
      <c r="G814">
        <v>150</v>
      </c>
      <c r="H814" t="s">
        <v>22</v>
      </c>
      <c r="I814" t="s">
        <v>22</v>
      </c>
      <c r="J814">
        <v>1800</v>
      </c>
      <c r="K814" t="s">
        <v>22</v>
      </c>
      <c r="L814" t="s">
        <v>22</v>
      </c>
      <c r="M814">
        <v>9.66</v>
      </c>
      <c r="N814" t="s">
        <v>32</v>
      </c>
      <c r="O814">
        <v>60</v>
      </c>
      <c r="P814">
        <v>10</v>
      </c>
      <c r="Q814" t="s">
        <v>22</v>
      </c>
      <c r="R814">
        <v>20</v>
      </c>
      <c r="S814">
        <v>0.47</v>
      </c>
    </row>
    <row r="815" spans="1:19" x14ac:dyDescent="0.25">
      <c r="A815">
        <v>1022</v>
      </c>
      <c r="B815">
        <v>1</v>
      </c>
      <c r="C815" t="str">
        <f>C814</f>
        <v>芘</v>
      </c>
      <c r="D815">
        <v>5.18</v>
      </c>
      <c r="E815">
        <v>0.13200000000000001</v>
      </c>
      <c r="F815">
        <v>393</v>
      </c>
      <c r="G815">
        <v>150</v>
      </c>
      <c r="H815" t="s">
        <v>22</v>
      </c>
      <c r="I815" t="s">
        <v>22</v>
      </c>
      <c r="J815">
        <v>1800</v>
      </c>
      <c r="K815" t="s">
        <v>22</v>
      </c>
      <c r="L815" t="s">
        <v>22</v>
      </c>
      <c r="M815">
        <v>9.66</v>
      </c>
      <c r="N815" t="s">
        <v>32</v>
      </c>
      <c r="O815">
        <v>60</v>
      </c>
      <c r="P815">
        <v>10</v>
      </c>
      <c r="Q815" t="s">
        <v>22</v>
      </c>
      <c r="R815">
        <v>35</v>
      </c>
      <c r="S815">
        <v>0.78620000000000001</v>
      </c>
    </row>
    <row r="816" spans="1:19" x14ac:dyDescent="0.25">
      <c r="A816">
        <v>1022</v>
      </c>
      <c r="B816">
        <v>1</v>
      </c>
      <c r="C816" t="str">
        <f>C815</f>
        <v>芘</v>
      </c>
      <c r="D816">
        <v>5.18</v>
      </c>
      <c r="E816">
        <v>0.13200000000000001</v>
      </c>
      <c r="F816">
        <v>393</v>
      </c>
      <c r="G816">
        <v>150</v>
      </c>
      <c r="H816" t="s">
        <v>22</v>
      </c>
      <c r="I816" t="s">
        <v>22</v>
      </c>
      <c r="J816">
        <v>1800</v>
      </c>
      <c r="K816" t="s">
        <v>22</v>
      </c>
      <c r="L816" t="s">
        <v>22</v>
      </c>
      <c r="M816">
        <v>9.66</v>
      </c>
      <c r="N816" t="s">
        <v>32</v>
      </c>
      <c r="O816">
        <v>60</v>
      </c>
      <c r="P816">
        <v>10</v>
      </c>
      <c r="Q816" t="s">
        <v>22</v>
      </c>
      <c r="R816">
        <v>56</v>
      </c>
      <c r="S816">
        <v>0.44819999999999999</v>
      </c>
    </row>
    <row r="817" spans="1:19" x14ac:dyDescent="0.25">
      <c r="A817">
        <v>1022</v>
      </c>
      <c r="B817">
        <v>1</v>
      </c>
      <c r="C817" t="s">
        <v>36</v>
      </c>
      <c r="D817">
        <v>5.91</v>
      </c>
      <c r="E817">
        <v>1.0999999999999999E-2</v>
      </c>
      <c r="F817">
        <v>350</v>
      </c>
      <c r="G817">
        <v>150</v>
      </c>
      <c r="H817" t="s">
        <v>22</v>
      </c>
      <c r="I817" t="s">
        <v>22</v>
      </c>
      <c r="J817">
        <v>1800</v>
      </c>
      <c r="K817" t="s">
        <v>22</v>
      </c>
      <c r="L817" t="s">
        <v>22</v>
      </c>
      <c r="M817">
        <v>9.66</v>
      </c>
      <c r="N817" t="s">
        <v>32</v>
      </c>
      <c r="O817">
        <v>60</v>
      </c>
      <c r="P817">
        <v>10</v>
      </c>
      <c r="Q817" t="s">
        <v>22</v>
      </c>
      <c r="R817">
        <v>8</v>
      </c>
      <c r="S817">
        <v>0.54190000000000005</v>
      </c>
    </row>
    <row r="818" spans="1:19" x14ac:dyDescent="0.25">
      <c r="A818">
        <v>1022</v>
      </c>
      <c r="B818">
        <v>1</v>
      </c>
      <c r="C818" t="str">
        <f>C817</f>
        <v>苯并[a]蒽</v>
      </c>
      <c r="D818">
        <v>5.91</v>
      </c>
      <c r="E818">
        <v>1.0999999999999999E-2</v>
      </c>
      <c r="F818">
        <v>350</v>
      </c>
      <c r="G818">
        <v>150</v>
      </c>
      <c r="H818" t="s">
        <v>22</v>
      </c>
      <c r="I818" t="s">
        <v>22</v>
      </c>
      <c r="J818">
        <v>1800</v>
      </c>
      <c r="K818" t="s">
        <v>22</v>
      </c>
      <c r="L818" t="s">
        <v>22</v>
      </c>
      <c r="M818">
        <v>9.66</v>
      </c>
      <c r="N818" t="s">
        <v>32</v>
      </c>
      <c r="O818">
        <v>60</v>
      </c>
      <c r="P818">
        <v>10</v>
      </c>
      <c r="Q818" t="s">
        <v>22</v>
      </c>
      <c r="R818">
        <v>14</v>
      </c>
      <c r="S818">
        <v>0.81779999999999997</v>
      </c>
    </row>
    <row r="819" spans="1:19" x14ac:dyDescent="0.25">
      <c r="A819">
        <v>1022</v>
      </c>
      <c r="B819">
        <v>1</v>
      </c>
      <c r="C819" t="str">
        <f>C818</f>
        <v>苯并[a]蒽</v>
      </c>
      <c r="D819">
        <v>5.91</v>
      </c>
      <c r="E819">
        <v>1.0999999999999999E-2</v>
      </c>
      <c r="F819">
        <v>350</v>
      </c>
      <c r="G819">
        <v>150</v>
      </c>
      <c r="H819" t="s">
        <v>22</v>
      </c>
      <c r="I819" t="s">
        <v>22</v>
      </c>
      <c r="J819">
        <v>1800</v>
      </c>
      <c r="K819" t="s">
        <v>22</v>
      </c>
      <c r="L819" t="s">
        <v>22</v>
      </c>
      <c r="M819">
        <v>9.66</v>
      </c>
      <c r="N819" t="s">
        <v>32</v>
      </c>
      <c r="O819">
        <v>60</v>
      </c>
      <c r="P819">
        <v>10</v>
      </c>
      <c r="Q819" t="s">
        <v>22</v>
      </c>
      <c r="R819">
        <v>20</v>
      </c>
      <c r="S819">
        <v>0.63239999999999996</v>
      </c>
    </row>
    <row r="820" spans="1:19" x14ac:dyDescent="0.25">
      <c r="A820">
        <v>1022</v>
      </c>
      <c r="B820">
        <v>1</v>
      </c>
      <c r="C820" t="str">
        <f>C819</f>
        <v>苯并[a]蒽</v>
      </c>
      <c r="D820">
        <v>5.91</v>
      </c>
      <c r="E820">
        <v>1.0999999999999999E-2</v>
      </c>
      <c r="F820">
        <v>350</v>
      </c>
      <c r="G820">
        <v>150</v>
      </c>
      <c r="H820" t="s">
        <v>22</v>
      </c>
      <c r="I820" t="s">
        <v>22</v>
      </c>
      <c r="J820">
        <v>1800</v>
      </c>
      <c r="K820" t="s">
        <v>22</v>
      </c>
      <c r="L820" t="s">
        <v>22</v>
      </c>
      <c r="M820">
        <v>9.66</v>
      </c>
      <c r="N820" t="s">
        <v>32</v>
      </c>
      <c r="O820">
        <v>60</v>
      </c>
      <c r="P820">
        <v>10</v>
      </c>
      <c r="Q820" t="s">
        <v>22</v>
      </c>
      <c r="R820">
        <v>35</v>
      </c>
      <c r="S820">
        <v>0.57030000000000003</v>
      </c>
    </row>
    <row r="821" spans="1:19" x14ac:dyDescent="0.25">
      <c r="A821">
        <v>1022</v>
      </c>
      <c r="B821">
        <v>1</v>
      </c>
      <c r="C821" t="str">
        <f>C820</f>
        <v>苯并[a]蒽</v>
      </c>
      <c r="D821">
        <v>5.91</v>
      </c>
      <c r="E821">
        <v>1.0999999999999999E-2</v>
      </c>
      <c r="F821">
        <v>350</v>
      </c>
      <c r="G821">
        <v>150</v>
      </c>
      <c r="H821" t="s">
        <v>22</v>
      </c>
      <c r="I821" t="s">
        <v>22</v>
      </c>
      <c r="J821">
        <v>1800</v>
      </c>
      <c r="K821" t="s">
        <v>22</v>
      </c>
      <c r="L821" t="s">
        <v>22</v>
      </c>
      <c r="M821">
        <v>9.66</v>
      </c>
      <c r="N821" t="s">
        <v>32</v>
      </c>
      <c r="O821">
        <v>60</v>
      </c>
      <c r="P821">
        <v>10</v>
      </c>
      <c r="Q821" t="s">
        <v>22</v>
      </c>
      <c r="R821">
        <v>56</v>
      </c>
      <c r="S821">
        <v>0.8276</v>
      </c>
    </row>
    <row r="822" spans="1:19" x14ac:dyDescent="0.25">
      <c r="A822">
        <v>1022</v>
      </c>
      <c r="B822">
        <v>1</v>
      </c>
      <c r="C822" t="s">
        <v>31</v>
      </c>
      <c r="D822">
        <v>5.22</v>
      </c>
      <c r="E822">
        <v>0.26</v>
      </c>
      <c r="F822">
        <v>375</v>
      </c>
      <c r="G822">
        <v>111</v>
      </c>
      <c r="H822" t="s">
        <v>22</v>
      </c>
      <c r="I822" t="s">
        <v>22</v>
      </c>
      <c r="J822">
        <v>1800</v>
      </c>
      <c r="K822" t="s">
        <v>22</v>
      </c>
      <c r="L822" t="s">
        <v>22</v>
      </c>
      <c r="M822">
        <v>9.66</v>
      </c>
      <c r="N822" t="s">
        <v>32</v>
      </c>
      <c r="O822">
        <v>60</v>
      </c>
      <c r="P822">
        <v>10</v>
      </c>
      <c r="Q822" t="s">
        <v>22</v>
      </c>
      <c r="R822">
        <v>8</v>
      </c>
      <c r="S822">
        <v>0.7339</v>
      </c>
    </row>
    <row r="823" spans="1:19" x14ac:dyDescent="0.25">
      <c r="A823">
        <v>1022</v>
      </c>
      <c r="B823">
        <v>1</v>
      </c>
      <c r="C823" t="str">
        <f>C822</f>
        <v>荧蒽</v>
      </c>
      <c r="D823">
        <v>5.22</v>
      </c>
      <c r="E823">
        <v>0.26</v>
      </c>
      <c r="F823">
        <v>375</v>
      </c>
      <c r="G823">
        <v>111</v>
      </c>
      <c r="H823" t="s">
        <v>22</v>
      </c>
      <c r="I823" t="s">
        <v>22</v>
      </c>
      <c r="J823">
        <v>1800</v>
      </c>
      <c r="K823" t="s">
        <v>22</v>
      </c>
      <c r="L823" t="s">
        <v>22</v>
      </c>
      <c r="M823">
        <v>9.66</v>
      </c>
      <c r="N823" t="s">
        <v>32</v>
      </c>
      <c r="O823">
        <v>60</v>
      </c>
      <c r="P823">
        <v>10</v>
      </c>
      <c r="Q823" t="s">
        <v>22</v>
      </c>
      <c r="R823">
        <v>14</v>
      </c>
      <c r="S823">
        <v>0.70009999999999994</v>
      </c>
    </row>
    <row r="824" spans="1:19" x14ac:dyDescent="0.25">
      <c r="A824">
        <v>1022</v>
      </c>
      <c r="B824">
        <v>1</v>
      </c>
      <c r="C824" t="str">
        <f>C823</f>
        <v>荧蒽</v>
      </c>
      <c r="D824">
        <v>5.22</v>
      </c>
      <c r="E824">
        <v>0.26</v>
      </c>
      <c r="F824">
        <v>375</v>
      </c>
      <c r="G824">
        <v>111</v>
      </c>
      <c r="H824" t="s">
        <v>22</v>
      </c>
      <c r="I824" t="s">
        <v>22</v>
      </c>
      <c r="J824">
        <v>1800</v>
      </c>
      <c r="K824" t="s">
        <v>22</v>
      </c>
      <c r="L824" t="s">
        <v>22</v>
      </c>
      <c r="M824">
        <v>9.66</v>
      </c>
      <c r="N824" t="s">
        <v>32</v>
      </c>
      <c r="O824">
        <v>60</v>
      </c>
      <c r="P824">
        <v>10</v>
      </c>
      <c r="Q824" t="s">
        <v>22</v>
      </c>
      <c r="R824">
        <v>20</v>
      </c>
      <c r="S824">
        <v>0.87670000000000003</v>
      </c>
    </row>
    <row r="825" spans="1:19" x14ac:dyDescent="0.25">
      <c r="A825">
        <v>1022</v>
      </c>
      <c r="B825">
        <v>1</v>
      </c>
      <c r="C825" t="str">
        <f>C824</f>
        <v>荧蒽</v>
      </c>
      <c r="D825">
        <v>5.22</v>
      </c>
      <c r="E825">
        <v>0.26</v>
      </c>
      <c r="F825">
        <v>375</v>
      </c>
      <c r="G825">
        <v>111</v>
      </c>
      <c r="H825" t="s">
        <v>22</v>
      </c>
      <c r="I825" t="s">
        <v>22</v>
      </c>
      <c r="J825">
        <v>1800</v>
      </c>
      <c r="K825" t="s">
        <v>22</v>
      </c>
      <c r="L825" t="s">
        <v>22</v>
      </c>
      <c r="M825">
        <v>9.66</v>
      </c>
      <c r="N825" t="s">
        <v>32</v>
      </c>
      <c r="O825">
        <v>60</v>
      </c>
      <c r="P825">
        <v>10</v>
      </c>
      <c r="Q825" t="s">
        <v>22</v>
      </c>
      <c r="R825">
        <v>35</v>
      </c>
      <c r="S825">
        <v>0.245</v>
      </c>
    </row>
    <row r="826" spans="1:19" x14ac:dyDescent="0.25">
      <c r="A826">
        <v>1022</v>
      </c>
      <c r="B826">
        <v>1</v>
      </c>
      <c r="C826" t="str">
        <f>C825</f>
        <v>荧蒽</v>
      </c>
      <c r="D826">
        <v>5.22</v>
      </c>
      <c r="E826">
        <v>0.26</v>
      </c>
      <c r="F826">
        <v>375</v>
      </c>
      <c r="G826">
        <v>111</v>
      </c>
      <c r="H826" t="s">
        <v>22</v>
      </c>
      <c r="I826" t="s">
        <v>22</v>
      </c>
      <c r="J826">
        <v>1800</v>
      </c>
      <c r="K826" t="s">
        <v>22</v>
      </c>
      <c r="L826" t="s">
        <v>22</v>
      </c>
      <c r="M826">
        <v>9.66</v>
      </c>
      <c r="N826" t="s">
        <v>32</v>
      </c>
      <c r="O826">
        <v>60</v>
      </c>
      <c r="P826">
        <v>10</v>
      </c>
      <c r="Q826" t="s">
        <v>22</v>
      </c>
      <c r="R826">
        <v>56</v>
      </c>
      <c r="S826">
        <v>0.28760000000000002</v>
      </c>
    </row>
    <row r="827" spans="1:19" x14ac:dyDescent="0.25">
      <c r="A827">
        <v>1022</v>
      </c>
      <c r="B827">
        <v>1</v>
      </c>
      <c r="C827" t="s">
        <v>35</v>
      </c>
      <c r="D827">
        <v>5.18</v>
      </c>
      <c r="E827">
        <v>0.13200000000000001</v>
      </c>
      <c r="F827">
        <v>393</v>
      </c>
      <c r="G827">
        <v>150</v>
      </c>
      <c r="H827" t="s">
        <v>22</v>
      </c>
      <c r="I827" t="s">
        <v>22</v>
      </c>
      <c r="J827">
        <v>1800</v>
      </c>
      <c r="K827" t="s">
        <v>22</v>
      </c>
      <c r="L827" t="s">
        <v>22</v>
      </c>
      <c r="M827">
        <v>9.66</v>
      </c>
      <c r="N827" t="s">
        <v>32</v>
      </c>
      <c r="O827">
        <v>60</v>
      </c>
      <c r="P827">
        <v>10</v>
      </c>
      <c r="Q827" t="s">
        <v>22</v>
      </c>
      <c r="R827">
        <v>8</v>
      </c>
      <c r="S827">
        <v>0.28760000000000002</v>
      </c>
    </row>
    <row r="828" spans="1:19" x14ac:dyDescent="0.25">
      <c r="A828">
        <v>1022</v>
      </c>
      <c r="B828">
        <v>1</v>
      </c>
      <c r="C828" t="str">
        <f>C827</f>
        <v>芘</v>
      </c>
      <c r="D828">
        <v>5.18</v>
      </c>
      <c r="E828">
        <v>0.13200000000000001</v>
      </c>
      <c r="F828">
        <v>393</v>
      </c>
      <c r="G828">
        <v>150</v>
      </c>
      <c r="H828" t="s">
        <v>22</v>
      </c>
      <c r="I828" t="s">
        <v>22</v>
      </c>
      <c r="J828">
        <v>1800</v>
      </c>
      <c r="K828" t="s">
        <v>22</v>
      </c>
      <c r="L828" t="s">
        <v>22</v>
      </c>
      <c r="M828">
        <v>9.66</v>
      </c>
      <c r="N828" t="s">
        <v>32</v>
      </c>
      <c r="O828">
        <v>60</v>
      </c>
      <c r="P828">
        <v>10</v>
      </c>
      <c r="Q828" t="s">
        <v>22</v>
      </c>
      <c r="R828">
        <v>14</v>
      </c>
      <c r="S828">
        <v>0.28170000000000001</v>
      </c>
    </row>
    <row r="829" spans="1:19" x14ac:dyDescent="0.25">
      <c r="A829">
        <v>1022</v>
      </c>
      <c r="B829">
        <v>1</v>
      </c>
      <c r="C829" t="str">
        <f>C828</f>
        <v>芘</v>
      </c>
      <c r="D829">
        <v>5.18</v>
      </c>
      <c r="E829">
        <v>0.13200000000000001</v>
      </c>
      <c r="F829">
        <v>393</v>
      </c>
      <c r="G829">
        <v>150</v>
      </c>
      <c r="H829" t="s">
        <v>22</v>
      </c>
      <c r="I829" t="s">
        <v>22</v>
      </c>
      <c r="J829">
        <v>1800</v>
      </c>
      <c r="K829" t="s">
        <v>22</v>
      </c>
      <c r="L829" t="s">
        <v>22</v>
      </c>
      <c r="M829">
        <v>9.66</v>
      </c>
      <c r="N829" t="s">
        <v>32</v>
      </c>
      <c r="O829">
        <v>60</v>
      </c>
      <c r="P829">
        <v>10</v>
      </c>
      <c r="Q829" t="s">
        <v>22</v>
      </c>
      <c r="R829">
        <v>20</v>
      </c>
      <c r="S829">
        <v>0.33129999999999998</v>
      </c>
    </row>
    <row r="830" spans="1:19" x14ac:dyDescent="0.25">
      <c r="A830">
        <v>1022</v>
      </c>
      <c r="B830">
        <v>1</v>
      </c>
      <c r="C830" t="str">
        <f>C829</f>
        <v>芘</v>
      </c>
      <c r="D830">
        <v>5.18</v>
      </c>
      <c r="E830">
        <v>0.13200000000000001</v>
      </c>
      <c r="F830">
        <v>393</v>
      </c>
      <c r="G830">
        <v>150</v>
      </c>
      <c r="H830" t="s">
        <v>22</v>
      </c>
      <c r="I830" t="s">
        <v>22</v>
      </c>
      <c r="J830">
        <v>1800</v>
      </c>
      <c r="K830" t="s">
        <v>22</v>
      </c>
      <c r="L830" t="s">
        <v>22</v>
      </c>
      <c r="M830">
        <v>9.66</v>
      </c>
      <c r="N830" t="s">
        <v>32</v>
      </c>
      <c r="O830">
        <v>60</v>
      </c>
      <c r="P830">
        <v>10</v>
      </c>
      <c r="Q830" t="s">
        <v>22</v>
      </c>
      <c r="R830">
        <v>35</v>
      </c>
      <c r="S830">
        <v>0.35809999999999997</v>
      </c>
    </row>
    <row r="831" spans="1:19" x14ac:dyDescent="0.25">
      <c r="A831">
        <v>1022</v>
      </c>
      <c r="B831">
        <v>1</v>
      </c>
      <c r="C831" t="str">
        <f>C830</f>
        <v>芘</v>
      </c>
      <c r="D831">
        <v>5.18</v>
      </c>
      <c r="E831">
        <v>0.13200000000000001</v>
      </c>
      <c r="F831">
        <v>393</v>
      </c>
      <c r="G831">
        <v>150</v>
      </c>
      <c r="H831" t="s">
        <v>22</v>
      </c>
      <c r="I831" t="s">
        <v>22</v>
      </c>
      <c r="J831">
        <v>1800</v>
      </c>
      <c r="K831" t="s">
        <v>22</v>
      </c>
      <c r="L831" t="s">
        <v>22</v>
      </c>
      <c r="M831">
        <v>9.66</v>
      </c>
      <c r="N831" t="s">
        <v>32</v>
      </c>
      <c r="O831">
        <v>60</v>
      </c>
      <c r="P831">
        <v>10</v>
      </c>
      <c r="Q831" t="s">
        <v>22</v>
      </c>
      <c r="R831">
        <v>56</v>
      </c>
      <c r="S831">
        <v>0.38590000000000002</v>
      </c>
    </row>
    <row r="832" spans="1:19" x14ac:dyDescent="0.25">
      <c r="A832">
        <v>1022</v>
      </c>
      <c r="B832">
        <v>1</v>
      </c>
      <c r="C832" t="s">
        <v>36</v>
      </c>
      <c r="D832">
        <v>5.91</v>
      </c>
      <c r="E832">
        <v>1.0999999999999999E-2</v>
      </c>
      <c r="F832">
        <v>350</v>
      </c>
      <c r="G832">
        <v>150</v>
      </c>
      <c r="H832" t="s">
        <v>22</v>
      </c>
      <c r="I832" t="s">
        <v>22</v>
      </c>
      <c r="J832">
        <v>1800</v>
      </c>
      <c r="K832" t="s">
        <v>22</v>
      </c>
      <c r="L832" t="s">
        <v>22</v>
      </c>
      <c r="M832">
        <v>9.66</v>
      </c>
      <c r="N832" t="s">
        <v>32</v>
      </c>
      <c r="O832">
        <v>60</v>
      </c>
      <c r="P832">
        <v>10</v>
      </c>
      <c r="Q832" t="s">
        <v>22</v>
      </c>
      <c r="R832">
        <v>8</v>
      </c>
      <c r="S832">
        <v>0.38590000000000002</v>
      </c>
    </row>
    <row r="833" spans="1:19" x14ac:dyDescent="0.25">
      <c r="A833">
        <v>1022</v>
      </c>
      <c r="B833">
        <v>1</v>
      </c>
      <c r="C833" t="str">
        <f>C832</f>
        <v>苯并[a]蒽</v>
      </c>
      <c r="D833">
        <v>5.91</v>
      </c>
      <c r="E833">
        <v>1.0999999999999999E-2</v>
      </c>
      <c r="F833">
        <v>350</v>
      </c>
      <c r="G833">
        <v>150</v>
      </c>
      <c r="H833" t="s">
        <v>22</v>
      </c>
      <c r="I833" t="s">
        <v>22</v>
      </c>
      <c r="J833">
        <v>1800</v>
      </c>
      <c r="K833" t="s">
        <v>22</v>
      </c>
      <c r="L833" t="s">
        <v>22</v>
      </c>
      <c r="M833">
        <v>9.66</v>
      </c>
      <c r="N833" t="s">
        <v>32</v>
      </c>
      <c r="O833">
        <v>60</v>
      </c>
      <c r="P833">
        <v>10</v>
      </c>
      <c r="Q833" t="s">
        <v>22</v>
      </c>
      <c r="R833">
        <v>14</v>
      </c>
      <c r="S833">
        <v>0.4365</v>
      </c>
    </row>
    <row r="834" spans="1:19" x14ac:dyDescent="0.25">
      <c r="A834">
        <v>1022</v>
      </c>
      <c r="B834">
        <v>1</v>
      </c>
      <c r="C834" t="str">
        <f>C833</f>
        <v>苯并[a]蒽</v>
      </c>
      <c r="D834">
        <v>5.91</v>
      </c>
      <c r="E834">
        <v>1.0999999999999999E-2</v>
      </c>
      <c r="F834">
        <v>350</v>
      </c>
      <c r="G834">
        <v>150</v>
      </c>
      <c r="H834" t="s">
        <v>22</v>
      </c>
      <c r="I834" t="s">
        <v>22</v>
      </c>
      <c r="J834">
        <v>1800</v>
      </c>
      <c r="K834" t="s">
        <v>22</v>
      </c>
      <c r="L834" t="s">
        <v>22</v>
      </c>
      <c r="M834">
        <v>9.66</v>
      </c>
      <c r="N834" t="s">
        <v>32</v>
      </c>
      <c r="O834">
        <v>60</v>
      </c>
      <c r="P834">
        <v>10</v>
      </c>
      <c r="Q834" t="s">
        <v>22</v>
      </c>
      <c r="R834">
        <v>20</v>
      </c>
      <c r="S834">
        <v>0.39579999999999999</v>
      </c>
    </row>
    <row r="835" spans="1:19" x14ac:dyDescent="0.25">
      <c r="A835">
        <v>1022</v>
      </c>
      <c r="B835">
        <v>1</v>
      </c>
      <c r="C835" t="str">
        <f>C834</f>
        <v>苯并[a]蒽</v>
      </c>
      <c r="D835">
        <v>5.91</v>
      </c>
      <c r="E835">
        <v>1.0999999999999999E-2</v>
      </c>
      <c r="F835">
        <v>350</v>
      </c>
      <c r="G835">
        <v>150</v>
      </c>
      <c r="H835" t="s">
        <v>22</v>
      </c>
      <c r="I835" t="s">
        <v>22</v>
      </c>
      <c r="J835">
        <v>1800</v>
      </c>
      <c r="K835" t="s">
        <v>22</v>
      </c>
      <c r="L835" t="s">
        <v>22</v>
      </c>
      <c r="M835">
        <v>9.66</v>
      </c>
      <c r="N835" t="s">
        <v>32</v>
      </c>
      <c r="O835">
        <v>60</v>
      </c>
      <c r="P835">
        <v>10</v>
      </c>
      <c r="Q835" t="s">
        <v>22</v>
      </c>
      <c r="R835">
        <v>35</v>
      </c>
      <c r="S835">
        <v>0.39579999999999999</v>
      </c>
    </row>
    <row r="836" spans="1:19" x14ac:dyDescent="0.25">
      <c r="A836">
        <v>1022</v>
      </c>
      <c r="B836">
        <v>1</v>
      </c>
      <c r="C836" t="str">
        <f>C835</f>
        <v>苯并[a]蒽</v>
      </c>
      <c r="D836">
        <v>5.91</v>
      </c>
      <c r="E836">
        <v>1.0999999999999999E-2</v>
      </c>
      <c r="F836">
        <v>350</v>
      </c>
      <c r="G836">
        <v>150</v>
      </c>
      <c r="H836" t="s">
        <v>22</v>
      </c>
      <c r="I836" t="s">
        <v>22</v>
      </c>
      <c r="J836">
        <v>1800</v>
      </c>
      <c r="K836" t="s">
        <v>22</v>
      </c>
      <c r="L836" t="s">
        <v>22</v>
      </c>
      <c r="M836">
        <v>9.66</v>
      </c>
      <c r="N836" t="s">
        <v>32</v>
      </c>
      <c r="O836">
        <v>60</v>
      </c>
      <c r="P836">
        <v>10</v>
      </c>
      <c r="Q836" t="s">
        <v>22</v>
      </c>
      <c r="R836">
        <v>56</v>
      </c>
      <c r="S836">
        <v>0.50890000000000002</v>
      </c>
    </row>
    <row r="837" spans="1:19" x14ac:dyDescent="0.25">
      <c r="A837">
        <v>1023</v>
      </c>
      <c r="B837">
        <v>1</v>
      </c>
      <c r="C837" t="s">
        <v>26</v>
      </c>
      <c r="D837">
        <v>3.3</v>
      </c>
      <c r="E837">
        <v>31.7</v>
      </c>
      <c r="F837">
        <v>218</v>
      </c>
      <c r="G837">
        <v>80.2</v>
      </c>
      <c r="H837" t="s">
        <v>22</v>
      </c>
      <c r="I837" t="s">
        <v>22</v>
      </c>
      <c r="J837" t="s">
        <v>22</v>
      </c>
      <c r="K837" t="s">
        <v>22</v>
      </c>
      <c r="L837" t="s">
        <v>22</v>
      </c>
      <c r="M837" t="s">
        <v>22</v>
      </c>
      <c r="N837" t="s">
        <v>27</v>
      </c>
      <c r="O837">
        <v>70</v>
      </c>
      <c r="P837">
        <v>150</v>
      </c>
      <c r="Q837">
        <v>30</v>
      </c>
      <c r="R837">
        <v>7</v>
      </c>
      <c r="S837">
        <v>0.2</v>
      </c>
    </row>
    <row r="838" spans="1:19" x14ac:dyDescent="0.25">
      <c r="A838">
        <v>1023</v>
      </c>
      <c r="B838">
        <v>1</v>
      </c>
      <c r="C838" t="s">
        <v>26</v>
      </c>
      <c r="D838">
        <v>3.3</v>
      </c>
      <c r="E838">
        <v>31.7</v>
      </c>
      <c r="F838">
        <v>218</v>
      </c>
      <c r="G838">
        <v>80.2</v>
      </c>
      <c r="H838" t="s">
        <v>22</v>
      </c>
      <c r="I838" t="s">
        <v>22</v>
      </c>
      <c r="J838" t="s">
        <v>22</v>
      </c>
      <c r="K838" t="s">
        <v>22</v>
      </c>
      <c r="L838" t="s">
        <v>22</v>
      </c>
      <c r="M838" t="s">
        <v>22</v>
      </c>
      <c r="N838" t="s">
        <v>27</v>
      </c>
      <c r="O838">
        <v>70</v>
      </c>
      <c r="P838">
        <v>150</v>
      </c>
      <c r="Q838">
        <v>30</v>
      </c>
      <c r="R838">
        <v>14</v>
      </c>
      <c r="S838">
        <v>0.4</v>
      </c>
    </row>
    <row r="839" spans="1:19" x14ac:dyDescent="0.25">
      <c r="A839">
        <v>1023</v>
      </c>
      <c r="B839">
        <v>1</v>
      </c>
      <c r="C839" t="s">
        <v>26</v>
      </c>
      <c r="D839">
        <v>3.3</v>
      </c>
      <c r="E839">
        <v>31.7</v>
      </c>
      <c r="F839">
        <v>218</v>
      </c>
      <c r="G839">
        <v>80.2</v>
      </c>
      <c r="H839" t="s">
        <v>22</v>
      </c>
      <c r="I839" t="s">
        <v>22</v>
      </c>
      <c r="J839" t="s">
        <v>22</v>
      </c>
      <c r="K839" t="s">
        <v>22</v>
      </c>
      <c r="L839" t="s">
        <v>22</v>
      </c>
      <c r="M839" t="s">
        <v>22</v>
      </c>
      <c r="N839" t="s">
        <v>27</v>
      </c>
      <c r="O839">
        <v>70</v>
      </c>
      <c r="P839">
        <v>150</v>
      </c>
      <c r="Q839">
        <v>30</v>
      </c>
      <c r="R839">
        <v>28</v>
      </c>
      <c r="S839">
        <v>0.6</v>
      </c>
    </row>
    <row r="840" spans="1:19" x14ac:dyDescent="0.25">
      <c r="A840">
        <v>1023</v>
      </c>
      <c r="B840">
        <v>1</v>
      </c>
      <c r="C840" t="s">
        <v>26</v>
      </c>
      <c r="D840">
        <v>3.3</v>
      </c>
      <c r="E840">
        <v>31.7</v>
      </c>
      <c r="F840">
        <v>218</v>
      </c>
      <c r="G840">
        <v>80.2</v>
      </c>
      <c r="H840" t="s">
        <v>22</v>
      </c>
      <c r="I840" t="s">
        <v>22</v>
      </c>
      <c r="J840" t="s">
        <v>22</v>
      </c>
      <c r="K840" t="s">
        <v>22</v>
      </c>
      <c r="L840" t="s">
        <v>22</v>
      </c>
      <c r="M840" t="s">
        <v>22</v>
      </c>
      <c r="N840" t="s">
        <v>27</v>
      </c>
      <c r="O840">
        <v>70</v>
      </c>
      <c r="P840">
        <v>150</v>
      </c>
      <c r="Q840">
        <v>30</v>
      </c>
      <c r="R840">
        <v>42</v>
      </c>
      <c r="S840">
        <v>0.73329999999999995</v>
      </c>
    </row>
    <row r="841" spans="1:19" x14ac:dyDescent="0.25">
      <c r="A841">
        <v>1023</v>
      </c>
      <c r="B841">
        <v>1</v>
      </c>
      <c r="C841" t="s">
        <v>28</v>
      </c>
      <c r="D841">
        <v>4.57</v>
      </c>
      <c r="E841">
        <v>1.1000000000000001</v>
      </c>
      <c r="F841">
        <v>340</v>
      </c>
      <c r="G841">
        <v>101</v>
      </c>
      <c r="H841" t="s">
        <v>22</v>
      </c>
      <c r="I841" t="s">
        <v>22</v>
      </c>
      <c r="J841" t="s">
        <v>22</v>
      </c>
      <c r="K841" t="s">
        <v>22</v>
      </c>
      <c r="L841" t="s">
        <v>22</v>
      </c>
      <c r="M841" t="s">
        <v>22</v>
      </c>
      <c r="N841" t="s">
        <v>29</v>
      </c>
      <c r="O841">
        <v>70</v>
      </c>
      <c r="P841">
        <v>200</v>
      </c>
      <c r="Q841">
        <v>30</v>
      </c>
      <c r="R841">
        <v>7</v>
      </c>
      <c r="S841">
        <v>0.2</v>
      </c>
    </row>
    <row r="842" spans="1:19" x14ac:dyDescent="0.25">
      <c r="A842">
        <v>1023</v>
      </c>
      <c r="B842">
        <v>1</v>
      </c>
      <c r="C842" t="s">
        <v>28</v>
      </c>
      <c r="D842">
        <v>4.57</v>
      </c>
      <c r="E842">
        <v>1.1000000000000001</v>
      </c>
      <c r="F842">
        <v>340</v>
      </c>
      <c r="G842">
        <v>101</v>
      </c>
      <c r="H842" t="s">
        <v>22</v>
      </c>
      <c r="I842" t="s">
        <v>22</v>
      </c>
      <c r="J842" t="s">
        <v>22</v>
      </c>
      <c r="K842" t="s">
        <v>22</v>
      </c>
      <c r="L842" t="s">
        <v>22</v>
      </c>
      <c r="M842" t="s">
        <v>22</v>
      </c>
      <c r="N842" t="s">
        <v>29</v>
      </c>
      <c r="O842">
        <v>70</v>
      </c>
      <c r="P842">
        <v>200</v>
      </c>
      <c r="Q842">
        <v>30</v>
      </c>
      <c r="R842">
        <v>14</v>
      </c>
      <c r="S842">
        <v>0.4</v>
      </c>
    </row>
    <row r="843" spans="1:19" x14ac:dyDescent="0.25">
      <c r="A843">
        <v>1023</v>
      </c>
      <c r="B843">
        <v>1</v>
      </c>
      <c r="C843" t="s">
        <v>28</v>
      </c>
      <c r="D843">
        <v>4.57</v>
      </c>
      <c r="E843">
        <v>1.1000000000000001</v>
      </c>
      <c r="F843">
        <v>340</v>
      </c>
      <c r="G843">
        <v>101</v>
      </c>
      <c r="H843" t="s">
        <v>22</v>
      </c>
      <c r="I843" t="s">
        <v>22</v>
      </c>
      <c r="J843" t="s">
        <v>22</v>
      </c>
      <c r="K843" t="s">
        <v>22</v>
      </c>
      <c r="L843" t="s">
        <v>22</v>
      </c>
      <c r="M843" t="s">
        <v>22</v>
      </c>
      <c r="N843" t="s">
        <v>29</v>
      </c>
      <c r="O843">
        <v>70</v>
      </c>
      <c r="P843">
        <v>200</v>
      </c>
      <c r="Q843">
        <v>30</v>
      </c>
      <c r="R843">
        <v>28</v>
      </c>
      <c r="S843">
        <v>0.6</v>
      </c>
    </row>
    <row r="844" spans="1:19" x14ac:dyDescent="0.25">
      <c r="A844">
        <v>1023</v>
      </c>
      <c r="B844">
        <v>1</v>
      </c>
      <c r="C844" t="s">
        <v>28</v>
      </c>
      <c r="D844">
        <v>4.57</v>
      </c>
      <c r="E844">
        <v>1.1000000000000001</v>
      </c>
      <c r="F844">
        <v>340</v>
      </c>
      <c r="G844">
        <v>101</v>
      </c>
      <c r="H844" t="s">
        <v>22</v>
      </c>
      <c r="I844" t="s">
        <v>22</v>
      </c>
      <c r="J844" t="s">
        <v>22</v>
      </c>
      <c r="K844" t="s">
        <v>22</v>
      </c>
      <c r="L844" t="s">
        <v>22</v>
      </c>
      <c r="M844" t="s">
        <v>22</v>
      </c>
      <c r="N844" t="s">
        <v>29</v>
      </c>
      <c r="O844">
        <v>70</v>
      </c>
      <c r="P844">
        <v>200</v>
      </c>
      <c r="Q844">
        <v>30</v>
      </c>
      <c r="R844">
        <v>42</v>
      </c>
      <c r="S844">
        <v>0.75</v>
      </c>
    </row>
    <row r="845" spans="1:19" x14ac:dyDescent="0.25">
      <c r="A845">
        <v>1023</v>
      </c>
      <c r="B845">
        <v>1</v>
      </c>
      <c r="C845" t="s">
        <v>35</v>
      </c>
      <c r="D845">
        <v>5.18</v>
      </c>
      <c r="E845">
        <v>0.13200000000000001</v>
      </c>
      <c r="F845">
        <v>393</v>
      </c>
      <c r="G845">
        <v>150</v>
      </c>
      <c r="H845" t="s">
        <v>22</v>
      </c>
      <c r="I845" t="s">
        <v>22</v>
      </c>
      <c r="J845" t="s">
        <v>22</v>
      </c>
      <c r="K845" t="s">
        <v>22</v>
      </c>
      <c r="L845" t="s">
        <v>22</v>
      </c>
      <c r="M845" t="s">
        <v>22</v>
      </c>
      <c r="N845" t="s">
        <v>32</v>
      </c>
      <c r="O845">
        <v>70</v>
      </c>
      <c r="P845">
        <v>180</v>
      </c>
      <c r="Q845">
        <v>30</v>
      </c>
      <c r="R845">
        <v>7</v>
      </c>
      <c r="S845">
        <v>0.22220000000000001</v>
      </c>
    </row>
    <row r="846" spans="1:19" x14ac:dyDescent="0.25">
      <c r="A846">
        <v>1023</v>
      </c>
      <c r="B846">
        <v>1</v>
      </c>
      <c r="C846" t="s">
        <v>35</v>
      </c>
      <c r="D846">
        <v>5.18</v>
      </c>
      <c r="E846">
        <v>0.13200000000000001</v>
      </c>
      <c r="F846">
        <v>393</v>
      </c>
      <c r="G846">
        <v>150</v>
      </c>
      <c r="H846" t="s">
        <v>22</v>
      </c>
      <c r="I846" t="s">
        <v>22</v>
      </c>
      <c r="J846" t="s">
        <v>22</v>
      </c>
      <c r="K846" t="s">
        <v>22</v>
      </c>
      <c r="L846" t="s">
        <v>22</v>
      </c>
      <c r="M846" t="s">
        <v>22</v>
      </c>
      <c r="N846" t="s">
        <v>32</v>
      </c>
      <c r="O846">
        <v>70</v>
      </c>
      <c r="P846">
        <v>180</v>
      </c>
      <c r="Q846">
        <v>30</v>
      </c>
      <c r="R846">
        <v>14</v>
      </c>
      <c r="S846">
        <v>0.44440000000000002</v>
      </c>
    </row>
    <row r="847" spans="1:19" x14ac:dyDescent="0.25">
      <c r="A847">
        <v>1023</v>
      </c>
      <c r="B847">
        <v>1</v>
      </c>
      <c r="C847" t="s">
        <v>35</v>
      </c>
      <c r="D847">
        <v>5.18</v>
      </c>
      <c r="E847">
        <v>0.13200000000000001</v>
      </c>
      <c r="F847">
        <v>393</v>
      </c>
      <c r="G847">
        <v>150</v>
      </c>
      <c r="H847" t="s">
        <v>22</v>
      </c>
      <c r="I847" t="s">
        <v>22</v>
      </c>
      <c r="J847" t="s">
        <v>22</v>
      </c>
      <c r="K847" t="s">
        <v>22</v>
      </c>
      <c r="L847" t="s">
        <v>22</v>
      </c>
      <c r="M847" t="s">
        <v>22</v>
      </c>
      <c r="N847" t="s">
        <v>32</v>
      </c>
      <c r="O847">
        <v>70</v>
      </c>
      <c r="P847">
        <v>180</v>
      </c>
      <c r="Q847">
        <v>30</v>
      </c>
      <c r="R847">
        <v>28</v>
      </c>
      <c r="S847">
        <v>0.61109999999999998</v>
      </c>
    </row>
    <row r="848" spans="1:19" x14ac:dyDescent="0.25">
      <c r="A848">
        <v>1023</v>
      </c>
      <c r="B848">
        <v>1</v>
      </c>
      <c r="C848" t="s">
        <v>35</v>
      </c>
      <c r="D848">
        <v>5.18</v>
      </c>
      <c r="E848">
        <v>0.13200000000000001</v>
      </c>
      <c r="F848">
        <v>393</v>
      </c>
      <c r="G848">
        <v>150</v>
      </c>
      <c r="H848" t="s">
        <v>22</v>
      </c>
      <c r="I848" t="s">
        <v>22</v>
      </c>
      <c r="J848" t="s">
        <v>22</v>
      </c>
      <c r="K848" t="s">
        <v>22</v>
      </c>
      <c r="L848" t="s">
        <v>22</v>
      </c>
      <c r="M848" t="s">
        <v>22</v>
      </c>
      <c r="N848" t="s">
        <v>32</v>
      </c>
      <c r="O848">
        <v>70</v>
      </c>
      <c r="P848">
        <v>180</v>
      </c>
      <c r="Q848">
        <v>30</v>
      </c>
      <c r="R848">
        <v>42</v>
      </c>
      <c r="S848">
        <v>0.77780000000000005</v>
      </c>
    </row>
    <row r="849" spans="1:19" x14ac:dyDescent="0.25">
      <c r="A849">
        <v>1024</v>
      </c>
      <c r="B849">
        <v>1</v>
      </c>
      <c r="C849" t="s">
        <v>19</v>
      </c>
      <c r="D849">
        <v>4.95</v>
      </c>
      <c r="E849">
        <v>31.7</v>
      </c>
      <c r="F849">
        <v>170</v>
      </c>
      <c r="G849">
        <v>387.6</v>
      </c>
      <c r="H849" t="s">
        <v>20</v>
      </c>
      <c r="I849" t="s">
        <v>22</v>
      </c>
      <c r="J849">
        <v>4900</v>
      </c>
      <c r="K849" t="s">
        <v>22</v>
      </c>
      <c r="L849" t="s">
        <v>22</v>
      </c>
      <c r="M849">
        <v>5.28</v>
      </c>
      <c r="N849" t="s">
        <v>21</v>
      </c>
      <c r="O849">
        <v>70</v>
      </c>
      <c r="P849">
        <v>21.024999999999999</v>
      </c>
      <c r="Q849">
        <v>25</v>
      </c>
      <c r="R849">
        <v>28</v>
      </c>
      <c r="S849">
        <v>6.5699999999999995E-2</v>
      </c>
    </row>
    <row r="850" spans="1:19" x14ac:dyDescent="0.25">
      <c r="A850">
        <v>1024</v>
      </c>
      <c r="B850">
        <v>1</v>
      </c>
      <c r="C850" t="s">
        <v>19</v>
      </c>
      <c r="D850">
        <v>4.95</v>
      </c>
      <c r="E850">
        <v>31.7</v>
      </c>
      <c r="F850">
        <f>F849</f>
        <v>170</v>
      </c>
      <c r="G850">
        <v>387.6</v>
      </c>
      <c r="H850" t="s">
        <v>20</v>
      </c>
      <c r="I850" t="s">
        <v>22</v>
      </c>
      <c r="J850">
        <v>4900</v>
      </c>
      <c r="K850" t="s">
        <v>22</v>
      </c>
      <c r="L850" t="s">
        <v>22</v>
      </c>
      <c r="M850">
        <v>5.28</v>
      </c>
      <c r="N850" t="s">
        <v>21</v>
      </c>
      <c r="O850">
        <v>70</v>
      </c>
      <c r="P850">
        <v>21.024999999999999</v>
      </c>
      <c r="Q850">
        <v>25</v>
      </c>
      <c r="R850">
        <v>28</v>
      </c>
      <c r="S850">
        <v>0.19769999999999999</v>
      </c>
    </row>
    <row r="851" spans="1:19" x14ac:dyDescent="0.25">
      <c r="A851">
        <v>1024</v>
      </c>
      <c r="B851">
        <v>2</v>
      </c>
      <c r="C851" t="s">
        <v>19</v>
      </c>
      <c r="D851">
        <v>4.95</v>
      </c>
      <c r="E851">
        <v>31.7</v>
      </c>
      <c r="F851">
        <f>F850</f>
        <v>170</v>
      </c>
      <c r="G851">
        <v>387.6</v>
      </c>
      <c r="H851" t="s">
        <v>20</v>
      </c>
      <c r="I851" t="s">
        <v>22</v>
      </c>
      <c r="J851">
        <v>1500</v>
      </c>
      <c r="K851" t="s">
        <v>22</v>
      </c>
      <c r="L851" t="s">
        <v>22</v>
      </c>
      <c r="M851">
        <v>4.3899999999999997</v>
      </c>
      <c r="N851" t="s">
        <v>21</v>
      </c>
      <c r="O851">
        <v>70</v>
      </c>
      <c r="P851">
        <v>11.05</v>
      </c>
      <c r="Q851">
        <v>25</v>
      </c>
      <c r="R851">
        <v>28</v>
      </c>
      <c r="S851">
        <v>0.16520000000000001</v>
      </c>
    </row>
    <row r="852" spans="1:19" x14ac:dyDescent="0.25">
      <c r="A852">
        <v>1024</v>
      </c>
      <c r="B852">
        <v>2</v>
      </c>
      <c r="C852" t="s">
        <v>19</v>
      </c>
      <c r="D852">
        <v>4.95</v>
      </c>
      <c r="E852">
        <v>31.7</v>
      </c>
      <c r="F852">
        <f>F851</f>
        <v>170</v>
      </c>
      <c r="G852">
        <v>387.6</v>
      </c>
      <c r="H852" t="s">
        <v>20</v>
      </c>
      <c r="I852" t="s">
        <v>22</v>
      </c>
      <c r="J852">
        <v>1500</v>
      </c>
      <c r="K852" t="s">
        <v>22</v>
      </c>
      <c r="L852" t="s">
        <v>22</v>
      </c>
      <c r="M852">
        <v>4.3899999999999997</v>
      </c>
      <c r="N852" t="s">
        <v>21</v>
      </c>
      <c r="O852">
        <v>70</v>
      </c>
      <c r="P852">
        <v>11.05</v>
      </c>
      <c r="Q852">
        <v>25</v>
      </c>
      <c r="R852">
        <v>28</v>
      </c>
      <c r="S852">
        <v>0.32279999999999998</v>
      </c>
    </row>
    <row r="853" spans="1:19" x14ac:dyDescent="0.25">
      <c r="A853">
        <v>1025</v>
      </c>
      <c r="B853">
        <v>1</v>
      </c>
      <c r="C853" t="s">
        <v>28</v>
      </c>
      <c r="D853">
        <v>4.57</v>
      </c>
      <c r="E853">
        <v>1.1000000000000001</v>
      </c>
      <c r="F853">
        <v>340</v>
      </c>
      <c r="G853">
        <v>101</v>
      </c>
      <c r="H853" t="s">
        <v>20</v>
      </c>
      <c r="I853" t="s">
        <v>22</v>
      </c>
      <c r="J853" t="s">
        <v>22</v>
      </c>
      <c r="K853" t="s">
        <v>22</v>
      </c>
      <c r="L853" t="s">
        <v>22</v>
      </c>
      <c r="M853">
        <v>7.9</v>
      </c>
      <c r="N853" t="s">
        <v>29</v>
      </c>
      <c r="O853" t="s">
        <v>22</v>
      </c>
      <c r="P853">
        <v>23.03</v>
      </c>
      <c r="Q853" t="s">
        <v>22</v>
      </c>
      <c r="R853">
        <v>80</v>
      </c>
      <c r="S853">
        <v>0.35110000000000002</v>
      </c>
    </row>
    <row r="854" spans="1:19" x14ac:dyDescent="0.25">
      <c r="A854">
        <v>1025</v>
      </c>
      <c r="B854">
        <v>1</v>
      </c>
      <c r="C854" t="s">
        <v>35</v>
      </c>
      <c r="D854">
        <v>5.18</v>
      </c>
      <c r="E854">
        <v>0.13200000000000001</v>
      </c>
      <c r="F854">
        <v>393</v>
      </c>
      <c r="G854">
        <v>150</v>
      </c>
      <c r="H854" t="s">
        <v>20</v>
      </c>
      <c r="I854" t="s">
        <v>22</v>
      </c>
      <c r="J854" t="s">
        <v>22</v>
      </c>
      <c r="K854" t="s">
        <v>22</v>
      </c>
      <c r="L854" t="s">
        <v>22</v>
      </c>
      <c r="M854">
        <v>7.9</v>
      </c>
      <c r="N854" t="s">
        <v>32</v>
      </c>
      <c r="O854" t="s">
        <v>22</v>
      </c>
      <c r="P854">
        <v>26.6</v>
      </c>
      <c r="Q854" t="s">
        <v>22</v>
      </c>
      <c r="R854">
        <v>80</v>
      </c>
      <c r="S854">
        <v>0.2165</v>
      </c>
    </row>
    <row r="855" spans="1:19" x14ac:dyDescent="0.25">
      <c r="A855">
        <v>1025</v>
      </c>
      <c r="B855">
        <v>2</v>
      </c>
      <c r="C855" t="s">
        <v>28</v>
      </c>
      <c r="D855">
        <v>4.57</v>
      </c>
      <c r="E855">
        <v>1.1000000000000001</v>
      </c>
      <c r="F855">
        <v>340</v>
      </c>
      <c r="G855">
        <v>101</v>
      </c>
      <c r="H855" t="s">
        <v>20</v>
      </c>
      <c r="I855" t="s">
        <v>22</v>
      </c>
      <c r="J855" t="s">
        <v>22</v>
      </c>
      <c r="K855" t="s">
        <v>22</v>
      </c>
      <c r="L855" t="s">
        <v>22</v>
      </c>
      <c r="M855">
        <v>7.9</v>
      </c>
      <c r="N855" t="s">
        <v>29</v>
      </c>
      <c r="O855" t="s">
        <v>22</v>
      </c>
      <c r="P855">
        <v>23.03</v>
      </c>
      <c r="Q855" t="s">
        <v>22</v>
      </c>
      <c r="R855">
        <v>80</v>
      </c>
      <c r="S855">
        <v>0.375</v>
      </c>
    </row>
    <row r="856" spans="1:19" x14ac:dyDescent="0.25">
      <c r="A856">
        <v>1025</v>
      </c>
      <c r="B856">
        <v>2</v>
      </c>
      <c r="C856" t="s">
        <v>35</v>
      </c>
      <c r="D856">
        <v>5.18</v>
      </c>
      <c r="E856">
        <v>0.13200000000000001</v>
      </c>
      <c r="F856">
        <v>393</v>
      </c>
      <c r="G856">
        <v>150</v>
      </c>
      <c r="H856" t="s">
        <v>20</v>
      </c>
      <c r="I856" t="s">
        <v>22</v>
      </c>
      <c r="J856" t="s">
        <v>22</v>
      </c>
      <c r="K856" t="s">
        <v>22</v>
      </c>
      <c r="L856" t="s">
        <v>22</v>
      </c>
      <c r="M856">
        <v>7.9</v>
      </c>
      <c r="N856" t="s">
        <v>32</v>
      </c>
      <c r="O856" t="s">
        <v>22</v>
      </c>
      <c r="P856">
        <v>26.6</v>
      </c>
      <c r="Q856" t="s">
        <v>22</v>
      </c>
      <c r="R856">
        <v>80</v>
      </c>
      <c r="S856">
        <v>0.216</v>
      </c>
    </row>
    <row r="857" spans="1:19" x14ac:dyDescent="0.25">
      <c r="A857">
        <v>1025</v>
      </c>
      <c r="B857">
        <v>3</v>
      </c>
      <c r="C857" t="s">
        <v>28</v>
      </c>
      <c r="D857">
        <v>4.57</v>
      </c>
      <c r="E857">
        <v>1.1000000000000001</v>
      </c>
      <c r="F857">
        <v>340</v>
      </c>
      <c r="G857">
        <v>101</v>
      </c>
      <c r="H857" t="s">
        <v>20</v>
      </c>
      <c r="I857" t="s">
        <v>22</v>
      </c>
      <c r="J857" t="s">
        <v>22</v>
      </c>
      <c r="K857" t="s">
        <v>22</v>
      </c>
      <c r="L857" t="s">
        <v>22</v>
      </c>
      <c r="M857">
        <v>7.9</v>
      </c>
      <c r="N857" t="s">
        <v>29</v>
      </c>
      <c r="O857" t="s">
        <v>22</v>
      </c>
      <c r="P857">
        <v>23.03</v>
      </c>
      <c r="Q857" t="s">
        <v>22</v>
      </c>
      <c r="R857">
        <v>80</v>
      </c>
      <c r="S857">
        <v>0.50080000000000002</v>
      </c>
    </row>
    <row r="858" spans="1:19" x14ac:dyDescent="0.25">
      <c r="A858">
        <v>1025</v>
      </c>
      <c r="B858">
        <v>3</v>
      </c>
      <c r="C858" t="s">
        <v>35</v>
      </c>
      <c r="D858">
        <v>5.18</v>
      </c>
      <c r="E858">
        <v>0.13200000000000001</v>
      </c>
      <c r="F858">
        <v>393</v>
      </c>
      <c r="G858">
        <v>150</v>
      </c>
      <c r="H858" t="s">
        <v>20</v>
      </c>
      <c r="I858" t="s">
        <v>22</v>
      </c>
      <c r="J858" t="s">
        <v>22</v>
      </c>
      <c r="K858" t="s">
        <v>22</v>
      </c>
      <c r="L858" t="s">
        <v>22</v>
      </c>
      <c r="M858">
        <v>7.9</v>
      </c>
      <c r="N858" t="s">
        <v>32</v>
      </c>
      <c r="O858" t="s">
        <v>22</v>
      </c>
      <c r="P858">
        <v>26.6</v>
      </c>
      <c r="Q858" t="s">
        <v>22</v>
      </c>
      <c r="R858">
        <v>80</v>
      </c>
      <c r="S858">
        <v>0.495</v>
      </c>
    </row>
    <row r="859" spans="1:19" x14ac:dyDescent="0.25">
      <c r="A859">
        <v>1025</v>
      </c>
      <c r="B859">
        <v>4</v>
      </c>
      <c r="C859" t="s">
        <v>28</v>
      </c>
      <c r="D859">
        <v>4.57</v>
      </c>
      <c r="E859">
        <v>1.1000000000000001</v>
      </c>
      <c r="F859">
        <v>340</v>
      </c>
      <c r="G859">
        <v>101</v>
      </c>
      <c r="H859" t="s">
        <v>20</v>
      </c>
      <c r="I859" t="s">
        <v>22</v>
      </c>
      <c r="J859" t="s">
        <v>22</v>
      </c>
      <c r="K859" t="s">
        <v>22</v>
      </c>
      <c r="L859" t="s">
        <v>22</v>
      </c>
      <c r="M859">
        <v>7.9</v>
      </c>
      <c r="N859" t="s">
        <v>29</v>
      </c>
      <c r="O859" t="s">
        <v>22</v>
      </c>
      <c r="P859">
        <v>23.03</v>
      </c>
      <c r="Q859" t="s">
        <v>22</v>
      </c>
      <c r="R859">
        <v>80</v>
      </c>
      <c r="S859">
        <v>0.62439999999999996</v>
      </c>
    </row>
    <row r="860" spans="1:19" x14ac:dyDescent="0.25">
      <c r="A860">
        <v>1025</v>
      </c>
      <c r="B860">
        <v>4</v>
      </c>
      <c r="C860" t="s">
        <v>35</v>
      </c>
      <c r="D860">
        <v>5.18</v>
      </c>
      <c r="E860">
        <v>0.13200000000000001</v>
      </c>
      <c r="F860">
        <v>393</v>
      </c>
      <c r="G860">
        <v>150</v>
      </c>
      <c r="H860" t="s">
        <v>20</v>
      </c>
      <c r="I860" t="s">
        <v>22</v>
      </c>
      <c r="J860" t="s">
        <v>22</v>
      </c>
      <c r="K860" t="s">
        <v>22</v>
      </c>
      <c r="L860" t="s">
        <v>22</v>
      </c>
      <c r="M860">
        <v>7.9</v>
      </c>
      <c r="N860" t="s">
        <v>32</v>
      </c>
      <c r="O860" t="s">
        <v>22</v>
      </c>
      <c r="P860">
        <v>26.6</v>
      </c>
      <c r="Q860" t="s">
        <v>22</v>
      </c>
      <c r="R860">
        <v>80</v>
      </c>
      <c r="S860">
        <v>0.51829999999999998</v>
      </c>
    </row>
    <row r="861" spans="1:19" x14ac:dyDescent="0.25">
      <c r="A861">
        <v>1025</v>
      </c>
      <c r="B861">
        <v>5</v>
      </c>
      <c r="C861" t="s">
        <v>28</v>
      </c>
      <c r="D861">
        <v>4.57</v>
      </c>
      <c r="E861">
        <v>1.1000000000000001</v>
      </c>
      <c r="F861">
        <v>340</v>
      </c>
      <c r="G861">
        <v>101</v>
      </c>
      <c r="H861" t="s">
        <v>20</v>
      </c>
      <c r="I861" t="s">
        <v>22</v>
      </c>
      <c r="J861" t="s">
        <v>22</v>
      </c>
      <c r="K861" t="s">
        <v>22</v>
      </c>
      <c r="L861" t="s">
        <v>22</v>
      </c>
      <c r="M861">
        <v>7.9</v>
      </c>
      <c r="N861" t="s">
        <v>29</v>
      </c>
      <c r="O861" t="s">
        <v>22</v>
      </c>
      <c r="P861">
        <v>23.03</v>
      </c>
      <c r="Q861" t="s">
        <v>22</v>
      </c>
      <c r="R861">
        <v>80</v>
      </c>
      <c r="S861">
        <v>0.62980000000000003</v>
      </c>
    </row>
    <row r="862" spans="1:19" x14ac:dyDescent="0.25">
      <c r="A862">
        <v>1025</v>
      </c>
      <c r="B862">
        <v>5</v>
      </c>
      <c r="C862" t="s">
        <v>35</v>
      </c>
      <c r="D862">
        <v>5.18</v>
      </c>
      <c r="E862">
        <v>0.13200000000000001</v>
      </c>
      <c r="F862">
        <v>393</v>
      </c>
      <c r="G862">
        <v>150</v>
      </c>
      <c r="H862" t="s">
        <v>20</v>
      </c>
      <c r="I862" t="s">
        <v>22</v>
      </c>
      <c r="J862" t="s">
        <v>22</v>
      </c>
      <c r="K862" t="s">
        <v>22</v>
      </c>
      <c r="L862" t="s">
        <v>22</v>
      </c>
      <c r="M862">
        <v>7.9</v>
      </c>
      <c r="N862" t="s">
        <v>32</v>
      </c>
      <c r="O862" t="s">
        <v>22</v>
      </c>
      <c r="P862">
        <v>26.6</v>
      </c>
      <c r="Q862" t="s">
        <v>22</v>
      </c>
      <c r="R862">
        <v>80</v>
      </c>
      <c r="S862">
        <v>0.63139999999999996</v>
      </c>
    </row>
    <row r="863" spans="1:19" x14ac:dyDescent="0.25">
      <c r="A863">
        <v>1025</v>
      </c>
      <c r="B863">
        <v>6</v>
      </c>
      <c r="C863" t="s">
        <v>28</v>
      </c>
      <c r="D863">
        <v>4.57</v>
      </c>
      <c r="E863">
        <v>1.1000000000000001</v>
      </c>
      <c r="F863">
        <v>340</v>
      </c>
      <c r="G863">
        <v>101</v>
      </c>
      <c r="H863" t="s">
        <v>20</v>
      </c>
      <c r="I863" t="s">
        <v>22</v>
      </c>
      <c r="J863" t="s">
        <v>22</v>
      </c>
      <c r="K863" t="s">
        <v>22</v>
      </c>
      <c r="L863" t="s">
        <v>22</v>
      </c>
      <c r="M863">
        <v>7.9</v>
      </c>
      <c r="N863" t="s">
        <v>29</v>
      </c>
      <c r="O863" t="s">
        <v>22</v>
      </c>
      <c r="P863">
        <v>23.03</v>
      </c>
      <c r="Q863" t="s">
        <v>22</v>
      </c>
      <c r="R863">
        <v>80</v>
      </c>
      <c r="S863">
        <v>0.749</v>
      </c>
    </row>
    <row r="864" spans="1:19" x14ac:dyDescent="0.25">
      <c r="A864">
        <v>1025</v>
      </c>
      <c r="B864">
        <v>6</v>
      </c>
      <c r="C864" t="s">
        <v>35</v>
      </c>
      <c r="D864">
        <v>5.18</v>
      </c>
      <c r="E864">
        <v>0.13200000000000001</v>
      </c>
      <c r="F864">
        <v>393</v>
      </c>
      <c r="G864">
        <v>150</v>
      </c>
      <c r="H864" t="s">
        <v>20</v>
      </c>
      <c r="I864" t="s">
        <v>22</v>
      </c>
      <c r="J864" t="s">
        <v>22</v>
      </c>
      <c r="K864" t="s">
        <v>22</v>
      </c>
      <c r="L864" t="s">
        <v>22</v>
      </c>
      <c r="M864">
        <v>7.9</v>
      </c>
      <c r="N864" t="s">
        <v>32</v>
      </c>
      <c r="O864" t="s">
        <v>22</v>
      </c>
      <c r="P864">
        <v>26.6</v>
      </c>
      <c r="Q864" t="s">
        <v>22</v>
      </c>
      <c r="R864">
        <v>80</v>
      </c>
      <c r="S864">
        <v>0.60899999999999999</v>
      </c>
    </row>
    <row r="865" spans="1:19" x14ac:dyDescent="0.25">
      <c r="A865">
        <v>1025</v>
      </c>
      <c r="B865">
        <v>7</v>
      </c>
      <c r="C865" t="s">
        <v>28</v>
      </c>
      <c r="D865">
        <v>4.57</v>
      </c>
      <c r="E865">
        <v>1.1000000000000001</v>
      </c>
      <c r="F865">
        <v>340</v>
      </c>
      <c r="G865">
        <v>101</v>
      </c>
      <c r="H865" t="s">
        <v>20</v>
      </c>
      <c r="I865" t="s">
        <v>22</v>
      </c>
      <c r="J865" t="s">
        <v>22</v>
      </c>
      <c r="K865" t="s">
        <v>22</v>
      </c>
      <c r="L865" t="s">
        <v>22</v>
      </c>
      <c r="M865">
        <v>7.9</v>
      </c>
      <c r="N865" t="s">
        <v>29</v>
      </c>
      <c r="O865" t="s">
        <v>22</v>
      </c>
      <c r="P865">
        <v>23.03</v>
      </c>
      <c r="Q865" t="s">
        <v>22</v>
      </c>
      <c r="R865">
        <v>80</v>
      </c>
      <c r="S865">
        <v>0.42559999999999998</v>
      </c>
    </row>
    <row r="866" spans="1:19" x14ac:dyDescent="0.25">
      <c r="A866">
        <v>1025</v>
      </c>
      <c r="B866">
        <v>7</v>
      </c>
      <c r="C866" t="s">
        <v>35</v>
      </c>
      <c r="D866">
        <v>5.18</v>
      </c>
      <c r="E866">
        <v>0.13200000000000001</v>
      </c>
      <c r="F866">
        <v>393</v>
      </c>
      <c r="G866">
        <v>150</v>
      </c>
      <c r="H866" t="s">
        <v>20</v>
      </c>
      <c r="I866" t="s">
        <v>22</v>
      </c>
      <c r="J866" t="s">
        <v>22</v>
      </c>
      <c r="K866" t="s">
        <v>22</v>
      </c>
      <c r="L866" t="s">
        <v>22</v>
      </c>
      <c r="M866">
        <v>7.9</v>
      </c>
      <c r="N866" t="s">
        <v>32</v>
      </c>
      <c r="O866" t="s">
        <v>22</v>
      </c>
      <c r="P866">
        <v>26.6</v>
      </c>
      <c r="Q866" t="s">
        <v>22</v>
      </c>
      <c r="R866">
        <v>80</v>
      </c>
      <c r="S866">
        <v>0.18770000000000001</v>
      </c>
    </row>
    <row r="867" spans="1:19" x14ac:dyDescent="0.25">
      <c r="A867">
        <v>1025</v>
      </c>
      <c r="B867">
        <v>8</v>
      </c>
      <c r="C867" t="s">
        <v>28</v>
      </c>
      <c r="D867">
        <v>4.57</v>
      </c>
      <c r="E867">
        <v>1.1000000000000001</v>
      </c>
      <c r="F867">
        <v>340</v>
      </c>
      <c r="G867">
        <v>101</v>
      </c>
      <c r="H867" t="s">
        <v>20</v>
      </c>
      <c r="I867" t="s">
        <v>22</v>
      </c>
      <c r="J867" t="s">
        <v>22</v>
      </c>
      <c r="K867" t="s">
        <v>22</v>
      </c>
      <c r="L867" t="s">
        <v>22</v>
      </c>
      <c r="M867">
        <v>7.9</v>
      </c>
      <c r="N867" t="s">
        <v>29</v>
      </c>
      <c r="O867" t="s">
        <v>22</v>
      </c>
      <c r="P867">
        <v>23.03</v>
      </c>
      <c r="Q867" t="s">
        <v>22</v>
      </c>
      <c r="R867">
        <v>80</v>
      </c>
      <c r="S867">
        <v>0.47320000000000001</v>
      </c>
    </row>
    <row r="868" spans="1:19" x14ac:dyDescent="0.25">
      <c r="A868">
        <v>1025</v>
      </c>
      <c r="B868">
        <v>8</v>
      </c>
      <c r="C868" t="s">
        <v>35</v>
      </c>
      <c r="D868">
        <v>5.18</v>
      </c>
      <c r="E868">
        <v>0.13200000000000001</v>
      </c>
      <c r="F868">
        <v>393</v>
      </c>
      <c r="G868">
        <v>150</v>
      </c>
      <c r="H868" t="s">
        <v>20</v>
      </c>
      <c r="I868" t="s">
        <v>22</v>
      </c>
      <c r="J868" t="s">
        <v>22</v>
      </c>
      <c r="K868" t="s">
        <v>22</v>
      </c>
      <c r="L868" t="s">
        <v>22</v>
      </c>
      <c r="M868">
        <v>7.9</v>
      </c>
      <c r="N868" t="s">
        <v>32</v>
      </c>
      <c r="O868" t="s">
        <v>22</v>
      </c>
      <c r="P868">
        <v>26.6</v>
      </c>
      <c r="Q868" t="s">
        <v>22</v>
      </c>
      <c r="R868">
        <v>80</v>
      </c>
      <c r="S868">
        <v>0.32279999999999998</v>
      </c>
    </row>
    <row r="869" spans="1:19" x14ac:dyDescent="0.25">
      <c r="A869">
        <v>1025</v>
      </c>
      <c r="B869">
        <v>9</v>
      </c>
      <c r="C869" t="s">
        <v>28</v>
      </c>
      <c r="D869">
        <v>4.57</v>
      </c>
      <c r="E869">
        <v>1.1000000000000001</v>
      </c>
      <c r="F869">
        <v>340</v>
      </c>
      <c r="G869">
        <v>101</v>
      </c>
      <c r="H869" t="s">
        <v>20</v>
      </c>
      <c r="I869" t="s">
        <v>22</v>
      </c>
      <c r="J869" t="s">
        <v>22</v>
      </c>
      <c r="K869" t="s">
        <v>22</v>
      </c>
      <c r="L869" t="s">
        <v>22</v>
      </c>
      <c r="M869">
        <v>7.9</v>
      </c>
      <c r="N869" t="s">
        <v>29</v>
      </c>
      <c r="O869" t="s">
        <v>22</v>
      </c>
      <c r="P869">
        <v>23.03</v>
      </c>
      <c r="Q869" t="s">
        <v>22</v>
      </c>
      <c r="R869">
        <v>80</v>
      </c>
      <c r="S869">
        <v>0.60029999999999994</v>
      </c>
    </row>
    <row r="870" spans="1:19" x14ac:dyDescent="0.25">
      <c r="A870">
        <v>1025</v>
      </c>
      <c r="B870">
        <v>9</v>
      </c>
      <c r="C870" t="s">
        <v>35</v>
      </c>
      <c r="D870">
        <v>5.18</v>
      </c>
      <c r="E870">
        <v>0.13200000000000001</v>
      </c>
      <c r="F870">
        <v>393</v>
      </c>
      <c r="G870">
        <v>150</v>
      </c>
      <c r="H870" t="s">
        <v>20</v>
      </c>
      <c r="I870" t="s">
        <v>22</v>
      </c>
      <c r="J870" t="s">
        <v>22</v>
      </c>
      <c r="K870" t="s">
        <v>22</v>
      </c>
      <c r="L870" t="s">
        <v>22</v>
      </c>
      <c r="M870">
        <v>7.9</v>
      </c>
      <c r="N870" t="s">
        <v>32</v>
      </c>
      <c r="O870" t="s">
        <v>22</v>
      </c>
      <c r="P870">
        <v>26.6</v>
      </c>
      <c r="Q870" t="s">
        <v>22</v>
      </c>
      <c r="R870">
        <v>80</v>
      </c>
      <c r="S870">
        <v>0.60870000000000002</v>
      </c>
    </row>
    <row r="871" spans="1:19" x14ac:dyDescent="0.25">
      <c r="A871">
        <v>1025</v>
      </c>
      <c r="B871">
        <v>10</v>
      </c>
      <c r="C871" t="s">
        <v>28</v>
      </c>
      <c r="D871">
        <v>4.57</v>
      </c>
      <c r="E871">
        <v>1.1000000000000001</v>
      </c>
      <c r="F871">
        <v>340</v>
      </c>
      <c r="G871">
        <v>101</v>
      </c>
      <c r="H871" t="s">
        <v>20</v>
      </c>
      <c r="I871" t="s">
        <v>22</v>
      </c>
      <c r="J871" t="s">
        <v>22</v>
      </c>
      <c r="K871" t="s">
        <v>22</v>
      </c>
      <c r="L871" t="s">
        <v>22</v>
      </c>
      <c r="M871">
        <v>7.9</v>
      </c>
      <c r="N871" t="s">
        <v>29</v>
      </c>
      <c r="O871" t="s">
        <v>22</v>
      </c>
      <c r="P871">
        <v>23.03</v>
      </c>
      <c r="Q871" t="s">
        <v>22</v>
      </c>
      <c r="R871">
        <v>80</v>
      </c>
      <c r="S871">
        <v>0.75449999999999995</v>
      </c>
    </row>
    <row r="872" spans="1:19" x14ac:dyDescent="0.25">
      <c r="A872">
        <v>1025</v>
      </c>
      <c r="B872">
        <v>10</v>
      </c>
      <c r="C872" t="s">
        <v>35</v>
      </c>
      <c r="D872">
        <v>5.18</v>
      </c>
      <c r="E872">
        <v>0.13200000000000001</v>
      </c>
      <c r="F872">
        <v>393</v>
      </c>
      <c r="G872">
        <v>150</v>
      </c>
      <c r="H872" t="s">
        <v>20</v>
      </c>
      <c r="I872" t="s">
        <v>22</v>
      </c>
      <c r="J872" t="s">
        <v>22</v>
      </c>
      <c r="K872" t="s">
        <v>22</v>
      </c>
      <c r="L872" t="s">
        <v>22</v>
      </c>
      <c r="M872">
        <v>7.9</v>
      </c>
      <c r="N872" t="s">
        <v>32</v>
      </c>
      <c r="O872" t="s">
        <v>22</v>
      </c>
      <c r="P872">
        <v>26.6</v>
      </c>
      <c r="Q872" t="s">
        <v>22</v>
      </c>
      <c r="R872">
        <v>80</v>
      </c>
      <c r="S872">
        <v>0.68300000000000005</v>
      </c>
    </row>
    <row r="873" spans="1:19" x14ac:dyDescent="0.25">
      <c r="A873">
        <v>1025</v>
      </c>
      <c r="B873">
        <v>11</v>
      </c>
      <c r="C873" t="s">
        <v>28</v>
      </c>
      <c r="D873">
        <v>4.57</v>
      </c>
      <c r="E873">
        <v>1.1000000000000001</v>
      </c>
      <c r="F873">
        <v>340</v>
      </c>
      <c r="G873">
        <v>101</v>
      </c>
      <c r="H873" t="s">
        <v>20</v>
      </c>
      <c r="I873" t="s">
        <v>22</v>
      </c>
      <c r="J873" t="s">
        <v>22</v>
      </c>
      <c r="K873" t="s">
        <v>22</v>
      </c>
      <c r="L873" t="s">
        <v>22</v>
      </c>
      <c r="M873">
        <v>7.9</v>
      </c>
      <c r="N873" t="s">
        <v>29</v>
      </c>
      <c r="O873" t="s">
        <v>22</v>
      </c>
      <c r="P873">
        <v>23.03</v>
      </c>
      <c r="Q873" t="s">
        <v>22</v>
      </c>
      <c r="R873">
        <v>80</v>
      </c>
      <c r="S873">
        <v>0.84130000000000005</v>
      </c>
    </row>
    <row r="874" spans="1:19" x14ac:dyDescent="0.25">
      <c r="A874">
        <v>1025</v>
      </c>
      <c r="B874">
        <v>11</v>
      </c>
      <c r="C874" t="s">
        <v>35</v>
      </c>
      <c r="D874">
        <v>5.18</v>
      </c>
      <c r="E874">
        <v>0.13200000000000001</v>
      </c>
      <c r="F874">
        <v>393</v>
      </c>
      <c r="G874">
        <v>150</v>
      </c>
      <c r="H874" t="s">
        <v>20</v>
      </c>
      <c r="I874" t="s">
        <v>22</v>
      </c>
      <c r="J874" t="s">
        <v>22</v>
      </c>
      <c r="K874" t="s">
        <v>22</v>
      </c>
      <c r="L874" t="s">
        <v>22</v>
      </c>
      <c r="M874">
        <v>7.9</v>
      </c>
      <c r="N874" t="s">
        <v>32</v>
      </c>
      <c r="O874" t="s">
        <v>22</v>
      </c>
      <c r="P874">
        <v>26.6</v>
      </c>
      <c r="Q874" t="s">
        <v>22</v>
      </c>
      <c r="R874">
        <v>80</v>
      </c>
      <c r="S874">
        <v>0.66910000000000003</v>
      </c>
    </row>
    <row r="875" spans="1:19" x14ac:dyDescent="0.25">
      <c r="A875">
        <v>1026</v>
      </c>
      <c r="B875">
        <v>1</v>
      </c>
      <c r="C875" t="s">
        <v>19</v>
      </c>
      <c r="D875">
        <v>4.95</v>
      </c>
      <c r="E875">
        <v>31.7</v>
      </c>
      <c r="F875">
        <v>170</v>
      </c>
      <c r="G875">
        <v>387.6</v>
      </c>
      <c r="H875" t="s">
        <v>20</v>
      </c>
      <c r="I875">
        <v>500</v>
      </c>
      <c r="J875">
        <v>1000</v>
      </c>
      <c r="K875" t="s">
        <v>22</v>
      </c>
      <c r="L875">
        <v>19.2</v>
      </c>
      <c r="M875">
        <v>6.4</v>
      </c>
      <c r="N875" t="s">
        <v>21</v>
      </c>
      <c r="O875">
        <v>60</v>
      </c>
      <c r="P875">
        <v>9.3620000000000001</v>
      </c>
      <c r="Q875">
        <v>28</v>
      </c>
      <c r="R875">
        <v>10</v>
      </c>
      <c r="S875">
        <v>0</v>
      </c>
    </row>
    <row r="876" spans="1:19" x14ac:dyDescent="0.25">
      <c r="A876">
        <v>1026</v>
      </c>
      <c r="B876">
        <v>1</v>
      </c>
      <c r="C876" t="s">
        <v>19</v>
      </c>
      <c r="D876">
        <v>4.95</v>
      </c>
      <c r="E876">
        <v>31.7</v>
      </c>
      <c r="F876">
        <v>170</v>
      </c>
      <c r="G876">
        <v>387.6</v>
      </c>
      <c r="H876" t="str">
        <f>H875</f>
        <v>壤土</v>
      </c>
      <c r="I876">
        <v>500</v>
      </c>
      <c r="J876">
        <v>1000</v>
      </c>
      <c r="K876" t="s">
        <v>22</v>
      </c>
      <c r="L876">
        <v>19.2</v>
      </c>
      <c r="M876">
        <v>6.4</v>
      </c>
      <c r="N876" t="s">
        <v>21</v>
      </c>
      <c r="O876">
        <v>60</v>
      </c>
      <c r="P876">
        <v>9.3620000000000001</v>
      </c>
      <c r="Q876">
        <v>28</v>
      </c>
      <c r="R876">
        <v>20</v>
      </c>
      <c r="S876">
        <v>0</v>
      </c>
    </row>
    <row r="877" spans="1:19" x14ac:dyDescent="0.25">
      <c r="A877">
        <v>1026</v>
      </c>
      <c r="B877">
        <v>1</v>
      </c>
      <c r="C877" t="s">
        <v>19</v>
      </c>
      <c r="D877">
        <v>4.95</v>
      </c>
      <c r="E877">
        <v>31.7</v>
      </c>
      <c r="F877">
        <v>170</v>
      </c>
      <c r="G877">
        <v>387.6</v>
      </c>
      <c r="H877" t="s">
        <v>20</v>
      </c>
      <c r="I877">
        <v>500</v>
      </c>
      <c r="J877">
        <v>1000</v>
      </c>
      <c r="K877" t="s">
        <v>22</v>
      </c>
      <c r="L877">
        <v>19.2</v>
      </c>
      <c r="M877">
        <v>6.4</v>
      </c>
      <c r="N877" t="s">
        <v>21</v>
      </c>
      <c r="O877">
        <v>60</v>
      </c>
      <c r="P877">
        <v>9.3620000000000001</v>
      </c>
      <c r="Q877">
        <v>28</v>
      </c>
      <c r="R877">
        <v>30</v>
      </c>
      <c r="S877">
        <v>0</v>
      </c>
    </row>
    <row r="878" spans="1:19" x14ac:dyDescent="0.25">
      <c r="A878">
        <v>1026</v>
      </c>
      <c r="B878">
        <v>1</v>
      </c>
      <c r="C878" t="s">
        <v>19</v>
      </c>
      <c r="D878">
        <v>4.95</v>
      </c>
      <c r="E878">
        <v>31.7</v>
      </c>
      <c r="F878">
        <v>170</v>
      </c>
      <c r="G878">
        <v>387.6</v>
      </c>
      <c r="H878" t="s">
        <v>20</v>
      </c>
      <c r="I878">
        <v>500</v>
      </c>
      <c r="J878">
        <v>1000</v>
      </c>
      <c r="K878" t="s">
        <v>22</v>
      </c>
      <c r="L878">
        <v>19.2</v>
      </c>
      <c r="M878">
        <v>6.4</v>
      </c>
      <c r="N878" t="s">
        <v>21</v>
      </c>
      <c r="O878">
        <v>60</v>
      </c>
      <c r="P878">
        <v>9.3620000000000001</v>
      </c>
      <c r="Q878">
        <v>28</v>
      </c>
      <c r="R878">
        <v>40</v>
      </c>
      <c r="S878">
        <v>3.1199999999999999E-2</v>
      </c>
    </row>
    <row r="879" spans="1:19" x14ac:dyDescent="0.25">
      <c r="A879">
        <v>1026</v>
      </c>
      <c r="B879">
        <v>1</v>
      </c>
      <c r="C879" t="s">
        <v>19</v>
      </c>
      <c r="D879">
        <v>4.95</v>
      </c>
      <c r="E879">
        <v>31.7</v>
      </c>
      <c r="F879">
        <v>170</v>
      </c>
      <c r="G879">
        <v>387.6</v>
      </c>
      <c r="H879" t="s">
        <v>20</v>
      </c>
      <c r="I879">
        <v>500</v>
      </c>
      <c r="J879">
        <v>1000</v>
      </c>
      <c r="K879" t="s">
        <v>22</v>
      </c>
      <c r="L879">
        <v>19.2</v>
      </c>
      <c r="M879">
        <v>6.4</v>
      </c>
      <c r="N879" t="s">
        <v>21</v>
      </c>
      <c r="O879">
        <v>60</v>
      </c>
      <c r="P879">
        <v>9.3620000000000001</v>
      </c>
      <c r="Q879">
        <v>28</v>
      </c>
      <c r="R879">
        <v>50</v>
      </c>
      <c r="S879">
        <v>4.8300000000000003E-2</v>
      </c>
    </row>
    <row r="880" spans="1:19" x14ac:dyDescent="0.25">
      <c r="A880">
        <v>1026</v>
      </c>
      <c r="B880">
        <v>1</v>
      </c>
      <c r="C880" t="s">
        <v>19</v>
      </c>
      <c r="D880">
        <v>4.95</v>
      </c>
      <c r="E880">
        <v>31.7</v>
      </c>
      <c r="F880">
        <v>170</v>
      </c>
      <c r="G880">
        <v>387.6</v>
      </c>
      <c r="H880" t="s">
        <v>20</v>
      </c>
      <c r="I880">
        <v>500</v>
      </c>
      <c r="J880">
        <v>1000</v>
      </c>
      <c r="K880" t="s">
        <v>22</v>
      </c>
      <c r="L880">
        <v>19.2</v>
      </c>
      <c r="M880">
        <v>6.4</v>
      </c>
      <c r="N880" t="s">
        <v>21</v>
      </c>
      <c r="O880">
        <v>60</v>
      </c>
      <c r="P880">
        <v>9.3620000000000001</v>
      </c>
      <c r="Q880">
        <v>28</v>
      </c>
      <c r="R880">
        <v>56</v>
      </c>
      <c r="S880">
        <v>7.0999999999999994E-2</v>
      </c>
    </row>
    <row r="881" spans="1:19" x14ac:dyDescent="0.25">
      <c r="A881">
        <v>1026</v>
      </c>
      <c r="B881">
        <v>2</v>
      </c>
      <c r="C881" t="s">
        <v>19</v>
      </c>
      <c r="D881">
        <v>4.95</v>
      </c>
      <c r="E881">
        <v>31.7</v>
      </c>
      <c r="F881">
        <v>170</v>
      </c>
      <c r="G881">
        <v>387.6</v>
      </c>
      <c r="H881" t="s">
        <v>20</v>
      </c>
      <c r="I881">
        <v>500</v>
      </c>
      <c r="J881">
        <v>1000</v>
      </c>
      <c r="K881" t="s">
        <v>22</v>
      </c>
      <c r="L881">
        <v>19.2</v>
      </c>
      <c r="M881">
        <v>6.4</v>
      </c>
      <c r="N881" t="s">
        <v>21</v>
      </c>
      <c r="O881">
        <v>60</v>
      </c>
      <c r="P881">
        <v>9.3620000000000001</v>
      </c>
      <c r="Q881">
        <v>28</v>
      </c>
      <c r="R881">
        <v>10</v>
      </c>
      <c r="S881">
        <v>8.2000000000000007E-3</v>
      </c>
    </row>
    <row r="882" spans="1:19" x14ac:dyDescent="0.25">
      <c r="A882">
        <v>1026</v>
      </c>
      <c r="B882">
        <v>2</v>
      </c>
      <c r="C882" t="s">
        <v>19</v>
      </c>
      <c r="D882">
        <v>4.95</v>
      </c>
      <c r="E882">
        <v>31.7</v>
      </c>
      <c r="F882">
        <v>170</v>
      </c>
      <c r="G882">
        <v>387.6</v>
      </c>
      <c r="H882" t="s">
        <v>20</v>
      </c>
      <c r="I882">
        <v>500</v>
      </c>
      <c r="J882">
        <v>1000</v>
      </c>
      <c r="K882" t="s">
        <v>22</v>
      </c>
      <c r="L882">
        <v>19.2</v>
      </c>
      <c r="M882">
        <v>6.4</v>
      </c>
      <c r="N882" t="s">
        <v>21</v>
      </c>
      <c r="O882">
        <v>60</v>
      </c>
      <c r="P882">
        <v>9.3620000000000001</v>
      </c>
      <c r="Q882">
        <v>28</v>
      </c>
      <c r="R882">
        <v>20</v>
      </c>
      <c r="S882">
        <v>3.4799999999999998E-2</v>
      </c>
    </row>
    <row r="883" spans="1:19" x14ac:dyDescent="0.25">
      <c r="A883">
        <v>1026</v>
      </c>
      <c r="B883">
        <v>2</v>
      </c>
      <c r="C883" t="s">
        <v>19</v>
      </c>
      <c r="D883">
        <v>4.95</v>
      </c>
      <c r="E883">
        <v>31.7</v>
      </c>
      <c r="F883">
        <v>170</v>
      </c>
      <c r="G883">
        <v>387.6</v>
      </c>
      <c r="H883" t="s">
        <v>20</v>
      </c>
      <c r="I883">
        <v>500</v>
      </c>
      <c r="J883">
        <v>1000</v>
      </c>
      <c r="K883" t="s">
        <v>22</v>
      </c>
      <c r="L883">
        <v>19.2</v>
      </c>
      <c r="M883">
        <v>6.4</v>
      </c>
      <c r="N883" t="s">
        <v>21</v>
      </c>
      <c r="O883">
        <v>60</v>
      </c>
      <c r="P883">
        <v>9.3620000000000001</v>
      </c>
      <c r="Q883">
        <v>28</v>
      </c>
      <c r="R883">
        <v>30</v>
      </c>
      <c r="S883">
        <v>8.72E-2</v>
      </c>
    </row>
    <row r="884" spans="1:19" x14ac:dyDescent="0.25">
      <c r="A884">
        <v>1026</v>
      </c>
      <c r="B884">
        <v>2</v>
      </c>
      <c r="C884" t="s">
        <v>19</v>
      </c>
      <c r="D884">
        <v>4.95</v>
      </c>
      <c r="E884">
        <v>31.7</v>
      </c>
      <c r="F884">
        <v>170</v>
      </c>
      <c r="G884">
        <v>387.6</v>
      </c>
      <c r="H884" t="s">
        <v>20</v>
      </c>
      <c r="I884">
        <v>500</v>
      </c>
      <c r="J884">
        <v>1000</v>
      </c>
      <c r="K884" t="s">
        <v>22</v>
      </c>
      <c r="L884">
        <v>19.2</v>
      </c>
      <c r="M884">
        <v>6.4</v>
      </c>
      <c r="N884" t="s">
        <v>21</v>
      </c>
      <c r="O884">
        <v>60</v>
      </c>
      <c r="P884">
        <v>9.3620000000000001</v>
      </c>
      <c r="Q884">
        <v>28</v>
      </c>
      <c r="R884">
        <v>40</v>
      </c>
      <c r="S884">
        <v>0.13719999999999999</v>
      </c>
    </row>
    <row r="885" spans="1:19" x14ac:dyDescent="0.25">
      <c r="A885">
        <v>1026</v>
      </c>
      <c r="B885">
        <v>2</v>
      </c>
      <c r="C885" t="s">
        <v>19</v>
      </c>
      <c r="D885">
        <v>4.95</v>
      </c>
      <c r="E885">
        <v>31.7</v>
      </c>
      <c r="F885">
        <v>170</v>
      </c>
      <c r="G885">
        <v>387.6</v>
      </c>
      <c r="H885" t="s">
        <v>20</v>
      </c>
      <c r="I885">
        <v>500</v>
      </c>
      <c r="J885">
        <v>1000</v>
      </c>
      <c r="K885" t="s">
        <v>22</v>
      </c>
      <c r="L885">
        <v>19.2</v>
      </c>
      <c r="M885">
        <v>6.4</v>
      </c>
      <c r="N885" t="s">
        <v>21</v>
      </c>
      <c r="O885">
        <v>60</v>
      </c>
      <c r="P885">
        <v>9.3620000000000001</v>
      </c>
      <c r="Q885">
        <v>28</v>
      </c>
      <c r="R885">
        <v>50</v>
      </c>
      <c r="S885">
        <v>0.19450000000000001</v>
      </c>
    </row>
    <row r="886" spans="1:19" x14ac:dyDescent="0.25">
      <c r="A886">
        <v>1026</v>
      </c>
      <c r="B886">
        <v>2</v>
      </c>
      <c r="C886" t="s">
        <v>19</v>
      </c>
      <c r="D886">
        <v>4.95</v>
      </c>
      <c r="E886">
        <v>31.7</v>
      </c>
      <c r="F886">
        <v>170</v>
      </c>
      <c r="G886">
        <v>387.6</v>
      </c>
      <c r="H886" t="s">
        <v>20</v>
      </c>
      <c r="I886">
        <v>500</v>
      </c>
      <c r="J886">
        <v>1000</v>
      </c>
      <c r="K886" t="s">
        <v>22</v>
      </c>
      <c r="L886">
        <v>19.2</v>
      </c>
      <c r="M886">
        <v>6.4</v>
      </c>
      <c r="N886" t="s">
        <v>21</v>
      </c>
      <c r="O886">
        <v>60</v>
      </c>
      <c r="P886">
        <v>9.3620000000000001</v>
      </c>
      <c r="Q886">
        <v>28</v>
      </c>
      <c r="R886">
        <v>56</v>
      </c>
      <c r="S886">
        <v>0.20200000000000001</v>
      </c>
    </row>
    <row r="887" spans="1:19" x14ac:dyDescent="0.25">
      <c r="A887">
        <v>1026</v>
      </c>
      <c r="B887">
        <v>3</v>
      </c>
      <c r="C887" t="s">
        <v>19</v>
      </c>
      <c r="D887">
        <v>4.95</v>
      </c>
      <c r="E887">
        <v>31.7</v>
      </c>
      <c r="F887">
        <v>170</v>
      </c>
      <c r="G887">
        <v>387.6</v>
      </c>
      <c r="H887" t="s">
        <v>20</v>
      </c>
      <c r="I887">
        <v>500</v>
      </c>
      <c r="J887">
        <v>1000</v>
      </c>
      <c r="K887" t="s">
        <v>22</v>
      </c>
      <c r="L887">
        <v>19.2</v>
      </c>
      <c r="M887">
        <v>6.4</v>
      </c>
      <c r="N887" t="s">
        <v>21</v>
      </c>
      <c r="O887">
        <v>60</v>
      </c>
      <c r="P887">
        <v>9.3620000000000001</v>
      </c>
      <c r="Q887">
        <v>28</v>
      </c>
      <c r="R887">
        <v>10</v>
      </c>
      <c r="S887">
        <v>3.8100000000000002E-2</v>
      </c>
    </row>
    <row r="888" spans="1:19" x14ac:dyDescent="0.25">
      <c r="A888">
        <v>1026</v>
      </c>
      <c r="B888">
        <v>3</v>
      </c>
      <c r="C888" t="s">
        <v>19</v>
      </c>
      <c r="D888">
        <v>4.95</v>
      </c>
      <c r="E888">
        <v>31.7</v>
      </c>
      <c r="F888">
        <v>170</v>
      </c>
      <c r="G888">
        <v>387.6</v>
      </c>
      <c r="H888" t="s">
        <v>20</v>
      </c>
      <c r="I888">
        <v>500</v>
      </c>
      <c r="J888">
        <v>1000</v>
      </c>
      <c r="K888" t="s">
        <v>22</v>
      </c>
      <c r="L888">
        <v>19.2</v>
      </c>
      <c r="M888">
        <v>6.4</v>
      </c>
      <c r="N888" t="s">
        <v>21</v>
      </c>
      <c r="O888">
        <v>60</v>
      </c>
      <c r="P888">
        <v>9.3620000000000001</v>
      </c>
      <c r="Q888">
        <v>28</v>
      </c>
      <c r="R888">
        <v>20</v>
      </c>
      <c r="S888">
        <v>9.8299999999999998E-2</v>
      </c>
    </row>
    <row r="889" spans="1:19" x14ac:dyDescent="0.25">
      <c r="A889">
        <v>1026</v>
      </c>
      <c r="B889">
        <v>3</v>
      </c>
      <c r="C889" t="s">
        <v>19</v>
      </c>
      <c r="D889">
        <v>4.95</v>
      </c>
      <c r="E889">
        <v>31.7</v>
      </c>
      <c r="F889">
        <v>170</v>
      </c>
      <c r="G889">
        <v>387.6</v>
      </c>
      <c r="H889" t="s">
        <v>20</v>
      </c>
      <c r="I889">
        <v>500</v>
      </c>
      <c r="J889">
        <v>1000</v>
      </c>
      <c r="K889" t="s">
        <v>22</v>
      </c>
      <c r="L889">
        <v>19.2</v>
      </c>
      <c r="M889">
        <v>6.4</v>
      </c>
      <c r="N889" t="s">
        <v>21</v>
      </c>
      <c r="O889">
        <v>60</v>
      </c>
      <c r="P889">
        <v>9.3620000000000001</v>
      </c>
      <c r="Q889">
        <v>28</v>
      </c>
      <c r="R889">
        <v>30</v>
      </c>
      <c r="S889">
        <v>0.14410000000000001</v>
      </c>
    </row>
    <row r="890" spans="1:19" x14ac:dyDescent="0.25">
      <c r="A890">
        <v>1026</v>
      </c>
      <c r="B890">
        <v>3</v>
      </c>
      <c r="C890" t="s">
        <v>19</v>
      </c>
      <c r="D890">
        <v>4.95</v>
      </c>
      <c r="E890">
        <v>31.7</v>
      </c>
      <c r="F890">
        <v>170</v>
      </c>
      <c r="G890">
        <v>387.6</v>
      </c>
      <c r="H890" t="s">
        <v>20</v>
      </c>
      <c r="I890">
        <v>500</v>
      </c>
      <c r="J890">
        <v>1000</v>
      </c>
      <c r="K890" t="s">
        <v>22</v>
      </c>
      <c r="L890">
        <v>19.2</v>
      </c>
      <c r="M890">
        <v>6.4</v>
      </c>
      <c r="N890" t="s">
        <v>21</v>
      </c>
      <c r="O890">
        <v>60</v>
      </c>
      <c r="P890">
        <v>9.3620000000000001</v>
      </c>
      <c r="Q890">
        <v>28</v>
      </c>
      <c r="R890">
        <v>40</v>
      </c>
      <c r="S890">
        <v>0.1885</v>
      </c>
    </row>
    <row r="891" spans="1:19" x14ac:dyDescent="0.25">
      <c r="A891">
        <v>1026</v>
      </c>
      <c r="B891">
        <v>3</v>
      </c>
      <c r="C891" t="s">
        <v>19</v>
      </c>
      <c r="D891">
        <v>4.95</v>
      </c>
      <c r="E891">
        <v>31.7</v>
      </c>
      <c r="F891">
        <v>170</v>
      </c>
      <c r="G891">
        <v>387.6</v>
      </c>
      <c r="H891" t="s">
        <v>20</v>
      </c>
      <c r="I891">
        <v>500</v>
      </c>
      <c r="J891">
        <v>1000</v>
      </c>
      <c r="K891" t="s">
        <v>22</v>
      </c>
      <c r="L891">
        <v>19.2</v>
      </c>
      <c r="M891">
        <v>6.4</v>
      </c>
      <c r="N891" t="s">
        <v>21</v>
      </c>
      <c r="O891">
        <v>60</v>
      </c>
      <c r="P891">
        <v>9.3620000000000001</v>
      </c>
      <c r="Q891">
        <v>28</v>
      </c>
      <c r="R891">
        <v>50</v>
      </c>
      <c r="S891">
        <v>0.31869999999999998</v>
      </c>
    </row>
    <row r="892" spans="1:19" x14ac:dyDescent="0.25">
      <c r="A892">
        <v>1026</v>
      </c>
      <c r="B892">
        <v>3</v>
      </c>
      <c r="C892" t="s">
        <v>19</v>
      </c>
      <c r="D892">
        <v>4.95</v>
      </c>
      <c r="E892">
        <v>31.7</v>
      </c>
      <c r="F892">
        <v>170</v>
      </c>
      <c r="G892">
        <v>387.6</v>
      </c>
      <c r="H892" t="s">
        <v>20</v>
      </c>
      <c r="I892">
        <v>500</v>
      </c>
      <c r="J892">
        <v>1000</v>
      </c>
      <c r="K892" t="s">
        <v>22</v>
      </c>
      <c r="L892">
        <v>19.2</v>
      </c>
      <c r="M892">
        <v>6.4</v>
      </c>
      <c r="N892" t="s">
        <v>21</v>
      </c>
      <c r="O892">
        <v>60</v>
      </c>
      <c r="P892">
        <v>9.3620000000000001</v>
      </c>
      <c r="Q892">
        <v>28</v>
      </c>
      <c r="R892">
        <v>56</v>
      </c>
      <c r="S892">
        <v>0.35799999999999998</v>
      </c>
    </row>
    <row r="893" spans="1:19" x14ac:dyDescent="0.25">
      <c r="A893">
        <v>1027</v>
      </c>
      <c r="B893">
        <v>1</v>
      </c>
      <c r="C893" t="s">
        <v>19</v>
      </c>
      <c r="D893">
        <v>4.95</v>
      </c>
      <c r="E893">
        <v>31.7</v>
      </c>
      <c r="F893">
        <v>170</v>
      </c>
      <c r="G893">
        <v>387.6</v>
      </c>
      <c r="H893" t="s">
        <v>20</v>
      </c>
      <c r="I893" t="s">
        <v>22</v>
      </c>
      <c r="J893">
        <v>25000</v>
      </c>
      <c r="K893" t="s">
        <v>22</v>
      </c>
      <c r="L893">
        <v>154</v>
      </c>
      <c r="M893">
        <v>7.45</v>
      </c>
      <c r="N893" t="s">
        <v>21</v>
      </c>
      <c r="O893">
        <v>81.7</v>
      </c>
      <c r="P893">
        <v>28.6</v>
      </c>
      <c r="Q893">
        <v>27</v>
      </c>
      <c r="R893">
        <v>56</v>
      </c>
      <c r="S893">
        <v>0.64</v>
      </c>
    </row>
    <row r="894" spans="1:19" x14ac:dyDescent="0.25">
      <c r="A894">
        <v>1027</v>
      </c>
      <c r="B894">
        <v>2</v>
      </c>
      <c r="C894" t="s">
        <v>19</v>
      </c>
      <c r="D894">
        <v>4.95</v>
      </c>
      <c r="E894">
        <v>31.7</v>
      </c>
      <c r="F894">
        <v>170</v>
      </c>
      <c r="G894">
        <v>387.6</v>
      </c>
      <c r="H894" t="s">
        <v>20</v>
      </c>
      <c r="I894" t="s">
        <v>22</v>
      </c>
      <c r="J894">
        <v>25000</v>
      </c>
      <c r="K894" t="s">
        <v>22</v>
      </c>
      <c r="L894">
        <v>154</v>
      </c>
      <c r="M894">
        <v>7.45</v>
      </c>
      <c r="N894" t="s">
        <v>21</v>
      </c>
      <c r="O894">
        <v>81.7</v>
      </c>
      <c r="P894">
        <v>28.6</v>
      </c>
      <c r="Q894">
        <v>27</v>
      </c>
      <c r="R894">
        <v>56</v>
      </c>
      <c r="S894">
        <v>0.7</v>
      </c>
    </row>
    <row r="895" spans="1:19" x14ac:dyDescent="0.25">
      <c r="A895">
        <v>1027</v>
      </c>
      <c r="B895">
        <v>3</v>
      </c>
      <c r="C895" t="s">
        <v>19</v>
      </c>
      <c r="D895">
        <v>4.95</v>
      </c>
      <c r="E895">
        <v>31.7</v>
      </c>
      <c r="F895">
        <v>170</v>
      </c>
      <c r="G895">
        <v>387.6</v>
      </c>
      <c r="H895" t="s">
        <v>20</v>
      </c>
      <c r="I895" t="s">
        <v>22</v>
      </c>
      <c r="J895">
        <v>25000</v>
      </c>
      <c r="K895" t="s">
        <v>22</v>
      </c>
      <c r="L895">
        <v>154</v>
      </c>
      <c r="M895">
        <v>7.45</v>
      </c>
      <c r="N895" t="s">
        <v>21</v>
      </c>
      <c r="O895">
        <v>81.7</v>
      </c>
      <c r="P895">
        <v>28.6</v>
      </c>
      <c r="Q895">
        <v>27</v>
      </c>
      <c r="R895">
        <v>56</v>
      </c>
      <c r="S895">
        <v>0.85</v>
      </c>
    </row>
    <row r="896" spans="1:19" x14ac:dyDescent="0.25">
      <c r="A896">
        <v>1027</v>
      </c>
      <c r="B896">
        <v>4</v>
      </c>
      <c r="C896" t="s">
        <v>19</v>
      </c>
      <c r="D896">
        <v>4.95</v>
      </c>
      <c r="E896">
        <v>31.7</v>
      </c>
      <c r="F896">
        <v>170</v>
      </c>
      <c r="G896">
        <v>387.6</v>
      </c>
      <c r="H896" t="s">
        <v>20</v>
      </c>
      <c r="I896" t="s">
        <v>22</v>
      </c>
      <c r="J896">
        <v>25000</v>
      </c>
      <c r="K896" t="s">
        <v>22</v>
      </c>
      <c r="L896">
        <v>154</v>
      </c>
      <c r="M896">
        <v>7.45</v>
      </c>
      <c r="N896" t="s">
        <v>21</v>
      </c>
      <c r="O896">
        <v>81.7</v>
      </c>
      <c r="P896">
        <v>28.6</v>
      </c>
      <c r="Q896">
        <v>27</v>
      </c>
      <c r="R896">
        <v>56</v>
      </c>
      <c r="S896">
        <v>0.94</v>
      </c>
    </row>
    <row r="897" spans="1:19" x14ac:dyDescent="0.25">
      <c r="A897">
        <v>1028</v>
      </c>
      <c r="B897">
        <v>1</v>
      </c>
      <c r="C897" t="s">
        <v>35</v>
      </c>
      <c r="D897">
        <v>5.18</v>
      </c>
      <c r="E897">
        <v>0.13200000000000001</v>
      </c>
      <c r="F897">
        <v>393</v>
      </c>
      <c r="G897">
        <v>150</v>
      </c>
      <c r="H897" t="s">
        <v>22</v>
      </c>
      <c r="I897" t="s">
        <v>22</v>
      </c>
      <c r="J897">
        <v>500</v>
      </c>
      <c r="K897" t="s">
        <v>22</v>
      </c>
      <c r="L897">
        <v>20</v>
      </c>
      <c r="M897">
        <v>7.5</v>
      </c>
      <c r="N897" t="s">
        <v>32</v>
      </c>
      <c r="O897">
        <v>45</v>
      </c>
      <c r="P897">
        <v>2</v>
      </c>
      <c r="Q897">
        <v>30</v>
      </c>
      <c r="R897">
        <v>4</v>
      </c>
      <c r="S897">
        <v>0.84899999999999998</v>
      </c>
    </row>
    <row r="898" spans="1:19" x14ac:dyDescent="0.25">
      <c r="A898">
        <v>1028</v>
      </c>
      <c r="B898">
        <v>1</v>
      </c>
      <c r="C898" t="s">
        <v>35</v>
      </c>
      <c r="D898">
        <v>5.18</v>
      </c>
      <c r="E898">
        <v>0.13200000000000001</v>
      </c>
      <c r="F898">
        <v>393</v>
      </c>
      <c r="G898">
        <v>150</v>
      </c>
      <c r="H898" t="s">
        <v>22</v>
      </c>
      <c r="I898" t="s">
        <v>22</v>
      </c>
      <c r="J898">
        <f>J897</f>
        <v>500</v>
      </c>
      <c r="K898" t="s">
        <v>22</v>
      </c>
      <c r="L898">
        <v>20</v>
      </c>
      <c r="M898">
        <f>M897</f>
        <v>7.5</v>
      </c>
      <c r="N898" t="s">
        <v>32</v>
      </c>
      <c r="O898">
        <v>45</v>
      </c>
      <c r="P898">
        <v>2</v>
      </c>
      <c r="Q898">
        <v>30</v>
      </c>
      <c r="R898">
        <v>8</v>
      </c>
      <c r="S898">
        <v>0.997</v>
      </c>
    </row>
    <row r="899" spans="1:19" x14ac:dyDescent="0.25">
      <c r="A899">
        <v>1028</v>
      </c>
      <c r="B899">
        <v>2</v>
      </c>
      <c r="C899" t="s">
        <v>35</v>
      </c>
      <c r="D899">
        <v>5.18</v>
      </c>
      <c r="E899">
        <v>0.13200000000000001</v>
      </c>
      <c r="F899">
        <v>393</v>
      </c>
      <c r="G899">
        <v>150</v>
      </c>
      <c r="H899" t="s">
        <v>22</v>
      </c>
      <c r="I899" t="s">
        <v>22</v>
      </c>
      <c r="J899">
        <v>500</v>
      </c>
      <c r="K899" t="s">
        <v>22</v>
      </c>
      <c r="L899">
        <v>20</v>
      </c>
      <c r="M899">
        <v>7.5</v>
      </c>
      <c r="N899" t="s">
        <v>32</v>
      </c>
      <c r="O899">
        <v>45</v>
      </c>
      <c r="P899">
        <v>2</v>
      </c>
      <c r="Q899">
        <v>30</v>
      </c>
      <c r="R899">
        <v>4</v>
      </c>
      <c r="S899">
        <v>0.26200000000000001</v>
      </c>
    </row>
    <row r="900" spans="1:19" x14ac:dyDescent="0.25">
      <c r="A900">
        <v>1028</v>
      </c>
      <c r="B900">
        <v>2</v>
      </c>
      <c r="C900" t="s">
        <v>35</v>
      </c>
      <c r="D900">
        <v>5.18</v>
      </c>
      <c r="E900">
        <v>0.13200000000000001</v>
      </c>
      <c r="F900">
        <v>393</v>
      </c>
      <c r="G900">
        <v>150</v>
      </c>
      <c r="H900" t="s">
        <v>22</v>
      </c>
      <c r="I900" t="s">
        <v>22</v>
      </c>
      <c r="J900">
        <v>500</v>
      </c>
      <c r="K900" t="s">
        <v>22</v>
      </c>
      <c r="L900">
        <v>20</v>
      </c>
      <c r="M900">
        <v>7.5</v>
      </c>
      <c r="N900" t="s">
        <v>32</v>
      </c>
      <c r="O900">
        <v>45</v>
      </c>
      <c r="P900">
        <v>2</v>
      </c>
      <c r="Q900">
        <v>30</v>
      </c>
      <c r="R900">
        <v>8</v>
      </c>
      <c r="S900">
        <v>0.33800000000000002</v>
      </c>
    </row>
    <row r="901" spans="1:19" x14ac:dyDescent="0.25">
      <c r="A901">
        <v>1028</v>
      </c>
      <c r="B901">
        <v>3</v>
      </c>
      <c r="C901" t="s">
        <v>35</v>
      </c>
      <c r="D901">
        <v>5.18</v>
      </c>
      <c r="E901">
        <v>0.13200000000000001</v>
      </c>
      <c r="F901">
        <v>393</v>
      </c>
      <c r="G901">
        <v>150</v>
      </c>
      <c r="H901" t="s">
        <v>22</v>
      </c>
      <c r="I901" t="s">
        <v>22</v>
      </c>
      <c r="J901">
        <v>500</v>
      </c>
      <c r="K901" t="s">
        <v>22</v>
      </c>
      <c r="L901">
        <v>20</v>
      </c>
      <c r="M901">
        <v>7.5</v>
      </c>
      <c r="N901" t="s">
        <v>32</v>
      </c>
      <c r="O901">
        <v>45</v>
      </c>
      <c r="P901">
        <v>2</v>
      </c>
      <c r="Q901">
        <v>30</v>
      </c>
      <c r="R901">
        <v>4</v>
      </c>
      <c r="S901">
        <v>0.29299999999999998</v>
      </c>
    </row>
    <row r="902" spans="1:19" x14ac:dyDescent="0.25">
      <c r="A902">
        <v>1028</v>
      </c>
      <c r="B902">
        <v>3</v>
      </c>
      <c r="C902" t="s">
        <v>35</v>
      </c>
      <c r="D902">
        <v>5.18</v>
      </c>
      <c r="E902">
        <v>0.13200000000000001</v>
      </c>
      <c r="F902">
        <v>393</v>
      </c>
      <c r="G902">
        <v>150</v>
      </c>
      <c r="H902" t="s">
        <v>22</v>
      </c>
      <c r="I902" t="s">
        <v>22</v>
      </c>
      <c r="J902">
        <v>500</v>
      </c>
      <c r="K902" t="s">
        <v>22</v>
      </c>
      <c r="L902">
        <v>20</v>
      </c>
      <c r="M902">
        <v>7.5</v>
      </c>
      <c r="N902" t="s">
        <v>32</v>
      </c>
      <c r="O902">
        <v>45</v>
      </c>
      <c r="P902">
        <v>2</v>
      </c>
      <c r="Q902">
        <v>30</v>
      </c>
      <c r="R902">
        <v>8</v>
      </c>
      <c r="S902">
        <v>0.42099999999999999</v>
      </c>
    </row>
    <row r="903" spans="1:19" x14ac:dyDescent="0.25">
      <c r="A903">
        <v>1028</v>
      </c>
      <c r="B903">
        <v>4</v>
      </c>
      <c r="C903" t="s">
        <v>40</v>
      </c>
      <c r="D903">
        <v>6.04</v>
      </c>
      <c r="E903">
        <v>3.8E-3</v>
      </c>
      <c r="F903">
        <v>400</v>
      </c>
      <c r="G903">
        <v>150</v>
      </c>
      <c r="H903" t="s">
        <v>22</v>
      </c>
      <c r="I903" t="s">
        <v>22</v>
      </c>
      <c r="J903">
        <v>500</v>
      </c>
      <c r="K903" t="s">
        <v>22</v>
      </c>
      <c r="L903">
        <v>20</v>
      </c>
      <c r="M903">
        <v>7.5</v>
      </c>
      <c r="N903" t="s">
        <v>38</v>
      </c>
      <c r="O903">
        <v>45</v>
      </c>
      <c r="P903">
        <v>1</v>
      </c>
      <c r="Q903">
        <v>30</v>
      </c>
      <c r="R903">
        <v>8</v>
      </c>
      <c r="S903">
        <v>0.60899999999999999</v>
      </c>
    </row>
    <row r="904" spans="1:19" x14ac:dyDescent="0.25">
      <c r="A904">
        <v>1028</v>
      </c>
      <c r="B904">
        <v>4</v>
      </c>
      <c r="C904" t="s">
        <v>40</v>
      </c>
      <c r="D904">
        <v>6.04</v>
      </c>
      <c r="E904">
        <v>3.8E-3</v>
      </c>
      <c r="F904">
        <v>400</v>
      </c>
      <c r="G904">
        <v>150</v>
      </c>
      <c r="H904" t="s">
        <v>22</v>
      </c>
      <c r="I904" t="s">
        <v>22</v>
      </c>
      <c r="J904">
        <v>500</v>
      </c>
      <c r="K904" t="s">
        <v>22</v>
      </c>
      <c r="L904">
        <v>20</v>
      </c>
      <c r="M904">
        <v>7.5</v>
      </c>
      <c r="N904" t="s">
        <v>38</v>
      </c>
      <c r="O904">
        <v>45</v>
      </c>
      <c r="P904">
        <v>1</v>
      </c>
      <c r="Q904">
        <v>30</v>
      </c>
      <c r="R904">
        <v>16</v>
      </c>
      <c r="S904">
        <v>0.76600000000000001</v>
      </c>
    </row>
    <row r="905" spans="1:19" x14ac:dyDescent="0.25">
      <c r="A905">
        <v>1028</v>
      </c>
      <c r="B905">
        <v>5</v>
      </c>
      <c r="C905" t="s">
        <v>40</v>
      </c>
      <c r="D905">
        <v>6.04</v>
      </c>
      <c r="E905">
        <v>3.8E-3</v>
      </c>
      <c r="F905">
        <v>400</v>
      </c>
      <c r="G905">
        <v>150</v>
      </c>
      <c r="H905" t="s">
        <v>22</v>
      </c>
      <c r="I905" t="s">
        <v>22</v>
      </c>
      <c r="J905">
        <v>500</v>
      </c>
      <c r="K905" t="s">
        <v>22</v>
      </c>
      <c r="L905">
        <v>20</v>
      </c>
      <c r="M905">
        <v>7.5</v>
      </c>
      <c r="N905" t="s">
        <v>38</v>
      </c>
      <c r="O905">
        <v>45</v>
      </c>
      <c r="P905">
        <v>1</v>
      </c>
      <c r="Q905">
        <v>30</v>
      </c>
      <c r="R905">
        <v>8</v>
      </c>
      <c r="S905">
        <v>0.443</v>
      </c>
    </row>
    <row r="906" spans="1:19" x14ac:dyDescent="0.25">
      <c r="A906">
        <v>1028</v>
      </c>
      <c r="B906">
        <v>5</v>
      </c>
      <c r="C906" t="s">
        <v>40</v>
      </c>
      <c r="D906">
        <v>6.04</v>
      </c>
      <c r="E906">
        <v>3.8E-3</v>
      </c>
      <c r="F906">
        <v>400</v>
      </c>
      <c r="G906">
        <v>150</v>
      </c>
      <c r="H906" t="s">
        <v>22</v>
      </c>
      <c r="I906" t="s">
        <v>22</v>
      </c>
      <c r="J906">
        <v>500</v>
      </c>
      <c r="K906" t="s">
        <v>22</v>
      </c>
      <c r="L906">
        <v>20</v>
      </c>
      <c r="M906">
        <v>7.5</v>
      </c>
      <c r="N906" t="s">
        <v>38</v>
      </c>
      <c r="O906">
        <v>45</v>
      </c>
      <c r="P906">
        <v>1</v>
      </c>
      <c r="Q906">
        <v>30</v>
      </c>
      <c r="R906">
        <v>16</v>
      </c>
      <c r="S906">
        <v>0.51700000000000002</v>
      </c>
    </row>
    <row r="907" spans="1:19" x14ac:dyDescent="0.25">
      <c r="A907">
        <v>1028</v>
      </c>
      <c r="B907">
        <v>6</v>
      </c>
      <c r="C907" t="s">
        <v>40</v>
      </c>
      <c r="D907">
        <v>6.04</v>
      </c>
      <c r="E907">
        <v>3.8E-3</v>
      </c>
      <c r="F907">
        <v>400</v>
      </c>
      <c r="G907">
        <v>150</v>
      </c>
      <c r="H907" t="s">
        <v>22</v>
      </c>
      <c r="I907" t="s">
        <v>22</v>
      </c>
      <c r="J907">
        <v>500</v>
      </c>
      <c r="K907" t="s">
        <v>22</v>
      </c>
      <c r="L907">
        <v>20</v>
      </c>
      <c r="M907">
        <v>7.5</v>
      </c>
      <c r="N907" t="s">
        <v>38</v>
      </c>
      <c r="O907">
        <v>45</v>
      </c>
      <c r="P907">
        <v>1</v>
      </c>
      <c r="Q907">
        <v>30</v>
      </c>
      <c r="R907">
        <v>8</v>
      </c>
      <c r="S907">
        <v>0.309</v>
      </c>
    </row>
    <row r="908" spans="1:19" x14ac:dyDescent="0.25">
      <c r="A908">
        <v>1028</v>
      </c>
      <c r="B908">
        <v>6</v>
      </c>
      <c r="C908" t="s">
        <v>40</v>
      </c>
      <c r="D908">
        <v>6.04</v>
      </c>
      <c r="E908">
        <v>3.8E-3</v>
      </c>
      <c r="F908">
        <v>400</v>
      </c>
      <c r="G908">
        <v>150</v>
      </c>
      <c r="H908" t="s">
        <v>22</v>
      </c>
      <c r="I908" t="s">
        <v>22</v>
      </c>
      <c r="J908">
        <v>500</v>
      </c>
      <c r="K908" t="s">
        <v>22</v>
      </c>
      <c r="L908">
        <v>20</v>
      </c>
      <c r="M908">
        <v>7.5</v>
      </c>
      <c r="N908" t="s">
        <v>38</v>
      </c>
      <c r="O908">
        <v>45</v>
      </c>
      <c r="P908">
        <v>1</v>
      </c>
      <c r="Q908">
        <v>30</v>
      </c>
      <c r="R908">
        <v>16</v>
      </c>
      <c r="S908">
        <v>0.45300000000000001</v>
      </c>
    </row>
    <row r="909" spans="1:19" x14ac:dyDescent="0.25">
      <c r="A909">
        <v>1029</v>
      </c>
      <c r="B909">
        <v>1</v>
      </c>
      <c r="C909" t="s">
        <v>19</v>
      </c>
      <c r="D909">
        <v>4.95</v>
      </c>
      <c r="E909">
        <v>31.7</v>
      </c>
      <c r="F909">
        <v>170</v>
      </c>
      <c r="G909">
        <v>387.6</v>
      </c>
      <c r="H909" t="s">
        <v>20</v>
      </c>
      <c r="I909" t="s">
        <v>22</v>
      </c>
      <c r="J909">
        <v>420</v>
      </c>
      <c r="K909" t="s">
        <v>22</v>
      </c>
      <c r="L909">
        <v>34</v>
      </c>
      <c r="M909">
        <v>6.3</v>
      </c>
      <c r="N909" t="s">
        <v>21</v>
      </c>
      <c r="O909">
        <v>60</v>
      </c>
      <c r="P909">
        <v>34</v>
      </c>
      <c r="Q909">
        <v>28</v>
      </c>
      <c r="R909">
        <v>60</v>
      </c>
      <c r="S909">
        <v>0.78</v>
      </c>
    </row>
    <row r="910" spans="1:19" x14ac:dyDescent="0.25">
      <c r="A910">
        <v>1029</v>
      </c>
      <c r="B910">
        <v>2</v>
      </c>
      <c r="C910" t="s">
        <v>19</v>
      </c>
      <c r="D910">
        <v>4.95</v>
      </c>
      <c r="E910">
        <v>31.7</v>
      </c>
      <c r="F910">
        <v>170</v>
      </c>
      <c r="G910">
        <v>387.6</v>
      </c>
      <c r="H910" t="s">
        <v>20</v>
      </c>
      <c r="I910" t="s">
        <v>22</v>
      </c>
      <c r="J910">
        <v>420</v>
      </c>
      <c r="K910" t="s">
        <v>22</v>
      </c>
      <c r="L910">
        <v>34</v>
      </c>
      <c r="M910">
        <v>6.3</v>
      </c>
      <c r="N910" t="s">
        <v>21</v>
      </c>
      <c r="O910">
        <v>60</v>
      </c>
      <c r="P910">
        <v>34</v>
      </c>
      <c r="Q910">
        <v>28</v>
      </c>
      <c r="R910">
        <v>60</v>
      </c>
      <c r="S910">
        <v>0.92300000000000004</v>
      </c>
    </row>
    <row r="911" spans="1:19" x14ac:dyDescent="0.25">
      <c r="A911">
        <v>1029</v>
      </c>
      <c r="B911">
        <v>3</v>
      </c>
      <c r="C911" t="s">
        <v>19</v>
      </c>
      <c r="D911">
        <v>4.95</v>
      </c>
      <c r="E911">
        <v>31.7</v>
      </c>
      <c r="F911">
        <v>170</v>
      </c>
      <c r="G911">
        <v>387.6</v>
      </c>
      <c r="H911" t="s">
        <v>20</v>
      </c>
      <c r="I911" t="s">
        <v>22</v>
      </c>
      <c r="J911">
        <v>420</v>
      </c>
      <c r="K911" t="s">
        <v>22</v>
      </c>
      <c r="L911">
        <v>34</v>
      </c>
      <c r="M911">
        <v>6.3</v>
      </c>
      <c r="N911" t="s">
        <v>21</v>
      </c>
      <c r="O911">
        <v>60</v>
      </c>
      <c r="P911">
        <v>34</v>
      </c>
      <c r="Q911">
        <v>28</v>
      </c>
      <c r="R911">
        <v>60</v>
      </c>
      <c r="S911">
        <v>0.69799999999999995</v>
      </c>
    </row>
    <row r="912" spans="1:19" x14ac:dyDescent="0.25">
      <c r="A912">
        <v>1029</v>
      </c>
      <c r="B912">
        <v>4</v>
      </c>
      <c r="C912" t="s">
        <v>19</v>
      </c>
      <c r="D912">
        <v>4.95</v>
      </c>
      <c r="E912">
        <v>31.7</v>
      </c>
      <c r="F912">
        <v>170</v>
      </c>
      <c r="G912">
        <v>387.6</v>
      </c>
      <c r="H912" t="s">
        <v>20</v>
      </c>
      <c r="I912" t="s">
        <v>22</v>
      </c>
      <c r="J912">
        <v>420</v>
      </c>
      <c r="K912" t="s">
        <v>22</v>
      </c>
      <c r="L912">
        <v>34</v>
      </c>
      <c r="M912">
        <v>6.3</v>
      </c>
      <c r="N912" t="s">
        <v>21</v>
      </c>
      <c r="O912">
        <v>60</v>
      </c>
      <c r="P912">
        <v>34</v>
      </c>
      <c r="Q912">
        <v>28</v>
      </c>
      <c r="R912">
        <v>60</v>
      </c>
      <c r="S912">
        <v>0.93</v>
      </c>
    </row>
    <row r="913" spans="1:19" x14ac:dyDescent="0.25">
      <c r="A913">
        <v>1029</v>
      </c>
      <c r="B913">
        <v>5</v>
      </c>
      <c r="C913" t="s">
        <v>19</v>
      </c>
      <c r="D913">
        <v>4.95</v>
      </c>
      <c r="E913">
        <v>31.7</v>
      </c>
      <c r="F913">
        <v>170</v>
      </c>
      <c r="G913">
        <v>387.6</v>
      </c>
      <c r="H913" t="s">
        <v>20</v>
      </c>
      <c r="I913" t="s">
        <v>22</v>
      </c>
      <c r="J913">
        <v>420</v>
      </c>
      <c r="K913" t="s">
        <v>22</v>
      </c>
      <c r="L913">
        <v>34</v>
      </c>
      <c r="M913">
        <v>6.3</v>
      </c>
      <c r="N913" t="s">
        <v>21</v>
      </c>
      <c r="O913">
        <v>60</v>
      </c>
      <c r="P913">
        <v>34</v>
      </c>
      <c r="Q913">
        <v>28</v>
      </c>
      <c r="R913">
        <v>60</v>
      </c>
      <c r="S913">
        <v>0.90800000000000003</v>
      </c>
    </row>
    <row r="914" spans="1:19" x14ac:dyDescent="0.25">
      <c r="A914">
        <v>1029</v>
      </c>
      <c r="B914">
        <v>6</v>
      </c>
      <c r="C914" t="s">
        <v>19</v>
      </c>
      <c r="D914">
        <v>4.95</v>
      </c>
      <c r="E914">
        <v>31.7</v>
      </c>
      <c r="F914">
        <v>170</v>
      </c>
      <c r="G914">
        <v>387.6</v>
      </c>
      <c r="H914" t="s">
        <v>20</v>
      </c>
      <c r="I914" t="s">
        <v>22</v>
      </c>
      <c r="J914">
        <v>420</v>
      </c>
      <c r="K914" t="s">
        <v>22</v>
      </c>
      <c r="L914">
        <v>34</v>
      </c>
      <c r="M914">
        <v>6.3</v>
      </c>
      <c r="N914" t="s">
        <v>21</v>
      </c>
      <c r="O914">
        <v>60</v>
      </c>
      <c r="P914">
        <v>34</v>
      </c>
      <c r="Q914">
        <v>28</v>
      </c>
      <c r="R914">
        <v>60</v>
      </c>
      <c r="S914">
        <v>0.95499999999999996</v>
      </c>
    </row>
    <row r="915" spans="1:19" x14ac:dyDescent="0.25">
      <c r="A915">
        <v>1029</v>
      </c>
      <c r="B915">
        <v>7</v>
      </c>
      <c r="C915" t="s">
        <v>19</v>
      </c>
      <c r="D915">
        <v>4.95</v>
      </c>
      <c r="E915">
        <v>31.7</v>
      </c>
      <c r="F915">
        <v>170</v>
      </c>
      <c r="G915">
        <v>387.6</v>
      </c>
      <c r="H915" t="s">
        <v>20</v>
      </c>
      <c r="I915" t="s">
        <v>22</v>
      </c>
      <c r="J915">
        <v>420</v>
      </c>
      <c r="K915" t="s">
        <v>22</v>
      </c>
      <c r="L915">
        <v>34</v>
      </c>
      <c r="M915">
        <v>6.3</v>
      </c>
      <c r="N915" t="s">
        <v>21</v>
      </c>
      <c r="O915">
        <v>60</v>
      </c>
      <c r="P915">
        <v>34</v>
      </c>
      <c r="Q915">
        <v>28</v>
      </c>
      <c r="R915">
        <v>60</v>
      </c>
      <c r="S915">
        <v>0.95499999999999996</v>
      </c>
    </row>
    <row r="916" spans="1:19" x14ac:dyDescent="0.25">
      <c r="A916">
        <v>1029</v>
      </c>
      <c r="B916">
        <v>8</v>
      </c>
      <c r="C916" t="s">
        <v>19</v>
      </c>
      <c r="D916">
        <v>4.95</v>
      </c>
      <c r="E916">
        <v>31.7</v>
      </c>
      <c r="F916">
        <v>170</v>
      </c>
      <c r="G916">
        <v>387.6</v>
      </c>
      <c r="H916" t="s">
        <v>20</v>
      </c>
      <c r="I916" t="s">
        <v>22</v>
      </c>
      <c r="J916">
        <v>420</v>
      </c>
      <c r="K916" t="s">
        <v>22</v>
      </c>
      <c r="L916">
        <v>34</v>
      </c>
      <c r="M916">
        <v>6.3</v>
      </c>
      <c r="N916" t="s">
        <v>21</v>
      </c>
      <c r="O916">
        <v>60</v>
      </c>
      <c r="P916">
        <v>34</v>
      </c>
      <c r="Q916">
        <v>28</v>
      </c>
      <c r="R916">
        <v>60</v>
      </c>
      <c r="S916">
        <v>0.88800000000000001</v>
      </c>
    </row>
    <row r="917" spans="1:19" x14ac:dyDescent="0.25">
      <c r="A917">
        <v>1030</v>
      </c>
      <c r="B917">
        <v>1</v>
      </c>
      <c r="C917" t="s">
        <v>19</v>
      </c>
      <c r="D917">
        <v>4.95</v>
      </c>
      <c r="E917">
        <v>31.7</v>
      </c>
      <c r="F917">
        <v>171.19</v>
      </c>
      <c r="G917">
        <v>412.27</v>
      </c>
      <c r="H917" t="s">
        <v>22</v>
      </c>
      <c r="I917">
        <v>125</v>
      </c>
      <c r="J917">
        <v>395</v>
      </c>
      <c r="K917" t="s">
        <v>22</v>
      </c>
      <c r="L917">
        <v>856</v>
      </c>
      <c r="M917">
        <v>6.6</v>
      </c>
      <c r="N917" t="s">
        <v>23</v>
      </c>
      <c r="O917">
        <v>96</v>
      </c>
      <c r="P917">
        <v>0.68899999999999995</v>
      </c>
      <c r="Q917">
        <v>35</v>
      </c>
      <c r="R917">
        <v>7</v>
      </c>
      <c r="S917">
        <v>-1.405</v>
      </c>
    </row>
    <row r="918" spans="1:19" x14ac:dyDescent="0.25">
      <c r="A918">
        <v>1030</v>
      </c>
      <c r="B918">
        <v>1</v>
      </c>
      <c r="C918" t="s">
        <v>19</v>
      </c>
      <c r="D918">
        <v>4.95</v>
      </c>
      <c r="E918">
        <v>31.7</v>
      </c>
      <c r="F918">
        <v>171.19</v>
      </c>
      <c r="G918">
        <v>412.27</v>
      </c>
      <c r="H918" t="s">
        <v>22</v>
      </c>
      <c r="I918">
        <v>125</v>
      </c>
      <c r="J918">
        <v>395</v>
      </c>
      <c r="K918" t="s">
        <v>22</v>
      </c>
      <c r="L918">
        <v>856</v>
      </c>
      <c r="M918">
        <v>6.6</v>
      </c>
      <c r="N918" t="s">
        <v>23</v>
      </c>
      <c r="O918">
        <v>96</v>
      </c>
      <c r="P918">
        <v>0.68899999999999995</v>
      </c>
      <c r="Q918">
        <v>35</v>
      </c>
      <c r="R918">
        <v>7</v>
      </c>
      <c r="S918">
        <v>-1.256</v>
      </c>
    </row>
    <row r="919" spans="1:19" x14ac:dyDescent="0.25">
      <c r="A919">
        <v>1030</v>
      </c>
      <c r="B919">
        <v>1</v>
      </c>
      <c r="C919" t="s">
        <v>19</v>
      </c>
      <c r="D919">
        <v>4.95</v>
      </c>
      <c r="E919">
        <v>31.7</v>
      </c>
      <c r="F919">
        <v>171.19</v>
      </c>
      <c r="G919">
        <v>412.27</v>
      </c>
      <c r="H919" t="s">
        <v>22</v>
      </c>
      <c r="I919">
        <v>125</v>
      </c>
      <c r="J919">
        <v>395</v>
      </c>
      <c r="K919" t="s">
        <v>22</v>
      </c>
      <c r="L919">
        <v>856</v>
      </c>
      <c r="M919">
        <v>6.6</v>
      </c>
      <c r="N919" t="s">
        <v>23</v>
      </c>
      <c r="O919">
        <v>96</v>
      </c>
      <c r="P919">
        <v>0.68899999999999995</v>
      </c>
      <c r="Q919">
        <v>35</v>
      </c>
      <c r="R919">
        <v>14</v>
      </c>
      <c r="S919">
        <v>-0.79600000000000004</v>
      </c>
    </row>
    <row r="920" spans="1:19" x14ac:dyDescent="0.25">
      <c r="A920">
        <v>1030</v>
      </c>
      <c r="B920">
        <v>1</v>
      </c>
      <c r="C920" t="s">
        <v>19</v>
      </c>
      <c r="D920">
        <v>4.95</v>
      </c>
      <c r="E920">
        <v>31.7</v>
      </c>
      <c r="F920">
        <v>171.19</v>
      </c>
      <c r="G920">
        <v>412.27</v>
      </c>
      <c r="H920" t="s">
        <v>22</v>
      </c>
      <c r="I920">
        <v>125</v>
      </c>
      <c r="J920">
        <v>395</v>
      </c>
      <c r="K920" t="s">
        <v>22</v>
      </c>
      <c r="L920">
        <v>856</v>
      </c>
      <c r="M920">
        <v>6.6</v>
      </c>
      <c r="N920" t="s">
        <v>23</v>
      </c>
      <c r="O920">
        <v>96</v>
      </c>
      <c r="P920">
        <v>0.68899999999999995</v>
      </c>
      <c r="Q920">
        <v>35</v>
      </c>
      <c r="R920">
        <v>14</v>
      </c>
      <c r="S920">
        <v>-0.79600000000000004</v>
      </c>
    </row>
    <row r="921" spans="1:19" x14ac:dyDescent="0.25">
      <c r="A921">
        <v>1030</v>
      </c>
      <c r="B921">
        <v>1</v>
      </c>
      <c r="C921" t="s">
        <v>19</v>
      </c>
      <c r="D921">
        <v>4.95</v>
      </c>
      <c r="E921">
        <v>31.7</v>
      </c>
      <c r="F921">
        <v>171.19</v>
      </c>
      <c r="G921">
        <v>412.27</v>
      </c>
      <c r="H921" t="s">
        <v>22</v>
      </c>
      <c r="I921">
        <v>125</v>
      </c>
      <c r="J921">
        <v>395</v>
      </c>
      <c r="K921" t="s">
        <v>22</v>
      </c>
      <c r="L921">
        <v>856</v>
      </c>
      <c r="M921">
        <v>6.6</v>
      </c>
      <c r="N921" t="s">
        <v>23</v>
      </c>
      <c r="O921">
        <v>96</v>
      </c>
      <c r="P921">
        <v>0.68899999999999995</v>
      </c>
      <c r="Q921">
        <v>35</v>
      </c>
      <c r="R921">
        <v>21</v>
      </c>
      <c r="S921">
        <v>-1.0049999999999999</v>
      </c>
    </row>
    <row r="922" spans="1:19" x14ac:dyDescent="0.25">
      <c r="A922">
        <v>1030</v>
      </c>
      <c r="B922">
        <v>1</v>
      </c>
      <c r="C922" t="s">
        <v>19</v>
      </c>
      <c r="D922">
        <v>4.95</v>
      </c>
      <c r="E922">
        <v>31.7</v>
      </c>
      <c r="F922">
        <v>171.19</v>
      </c>
      <c r="G922">
        <v>412.27</v>
      </c>
      <c r="H922" t="s">
        <v>22</v>
      </c>
      <c r="I922">
        <v>125</v>
      </c>
      <c r="J922">
        <v>395</v>
      </c>
      <c r="K922" t="s">
        <v>22</v>
      </c>
      <c r="L922">
        <v>856</v>
      </c>
      <c r="M922">
        <v>6.6</v>
      </c>
      <c r="N922" t="s">
        <v>23</v>
      </c>
      <c r="O922">
        <v>96</v>
      </c>
      <c r="P922">
        <v>0.68899999999999995</v>
      </c>
      <c r="Q922">
        <v>35</v>
      </c>
      <c r="R922">
        <v>21</v>
      </c>
      <c r="S922">
        <v>-0.51800000000000002</v>
      </c>
    </row>
    <row r="923" spans="1:19" x14ac:dyDescent="0.25">
      <c r="A923">
        <v>1030</v>
      </c>
      <c r="B923">
        <v>1</v>
      </c>
      <c r="C923" t="s">
        <v>19</v>
      </c>
      <c r="D923">
        <v>4.95</v>
      </c>
      <c r="E923">
        <v>31.7</v>
      </c>
      <c r="F923">
        <v>171.19</v>
      </c>
      <c r="G923">
        <v>412.27</v>
      </c>
      <c r="H923" t="s">
        <v>22</v>
      </c>
      <c r="I923">
        <v>125</v>
      </c>
      <c r="J923">
        <v>395</v>
      </c>
      <c r="K923" t="s">
        <v>22</v>
      </c>
      <c r="L923">
        <v>856</v>
      </c>
      <c r="M923">
        <v>6.6</v>
      </c>
      <c r="N923" t="s">
        <v>23</v>
      </c>
      <c r="O923">
        <v>96</v>
      </c>
      <c r="P923">
        <v>0.68899999999999995</v>
      </c>
      <c r="Q923">
        <v>35</v>
      </c>
      <c r="R923">
        <v>28</v>
      </c>
      <c r="S923">
        <v>-4.4999999999999998E-2</v>
      </c>
    </row>
    <row r="924" spans="1:19" x14ac:dyDescent="0.25">
      <c r="A924">
        <v>1030</v>
      </c>
      <c r="B924">
        <v>1</v>
      </c>
      <c r="C924" t="s">
        <v>19</v>
      </c>
      <c r="D924">
        <v>4.95</v>
      </c>
      <c r="E924">
        <v>31.7</v>
      </c>
      <c r="F924">
        <v>171.19</v>
      </c>
      <c r="G924">
        <v>412.27</v>
      </c>
      <c r="H924" t="s">
        <v>22</v>
      </c>
      <c r="I924">
        <v>125</v>
      </c>
      <c r="J924">
        <v>395</v>
      </c>
      <c r="K924" t="s">
        <v>22</v>
      </c>
      <c r="L924">
        <v>856</v>
      </c>
      <c r="M924">
        <v>6.6</v>
      </c>
      <c r="N924" t="s">
        <v>23</v>
      </c>
      <c r="O924">
        <v>96</v>
      </c>
      <c r="P924">
        <v>0.68899999999999995</v>
      </c>
      <c r="Q924">
        <v>35</v>
      </c>
      <c r="R924">
        <v>28</v>
      </c>
      <c r="S924">
        <v>0.65400000000000003</v>
      </c>
    </row>
    <row r="925" spans="1:19" x14ac:dyDescent="0.25">
      <c r="A925">
        <v>1030</v>
      </c>
      <c r="B925">
        <v>2</v>
      </c>
      <c r="C925" t="s">
        <v>19</v>
      </c>
      <c r="D925">
        <v>4.95</v>
      </c>
      <c r="E925">
        <v>31.7</v>
      </c>
      <c r="F925">
        <v>171.19</v>
      </c>
      <c r="G925">
        <v>412.27</v>
      </c>
      <c r="H925" t="s">
        <v>22</v>
      </c>
      <c r="I925">
        <v>221</v>
      </c>
      <c r="J925">
        <v>535</v>
      </c>
      <c r="K925" t="s">
        <v>22</v>
      </c>
      <c r="L925">
        <v>949</v>
      </c>
      <c r="M925">
        <v>6.1</v>
      </c>
      <c r="N925" t="s">
        <v>23</v>
      </c>
      <c r="O925">
        <v>96.5</v>
      </c>
      <c r="P925">
        <v>9.5000000000000001E-2</v>
      </c>
      <c r="Q925">
        <v>35</v>
      </c>
      <c r="R925">
        <v>7</v>
      </c>
      <c r="S925">
        <v>-1.008</v>
      </c>
    </row>
    <row r="926" spans="1:19" x14ac:dyDescent="0.25">
      <c r="A926">
        <v>1030</v>
      </c>
      <c r="B926">
        <v>2</v>
      </c>
      <c r="C926" t="s">
        <v>19</v>
      </c>
      <c r="D926">
        <v>4.95</v>
      </c>
      <c r="E926">
        <v>31.7</v>
      </c>
      <c r="F926">
        <v>171.19</v>
      </c>
      <c r="G926">
        <v>412.27</v>
      </c>
      <c r="H926" t="s">
        <v>22</v>
      </c>
      <c r="I926">
        <v>221</v>
      </c>
      <c r="J926">
        <v>535</v>
      </c>
      <c r="K926" t="s">
        <v>22</v>
      </c>
      <c r="L926">
        <v>949</v>
      </c>
      <c r="M926">
        <v>6.1</v>
      </c>
      <c r="N926" t="s">
        <v>23</v>
      </c>
      <c r="O926">
        <v>96.5</v>
      </c>
      <c r="P926">
        <f>P925</f>
        <v>9.5000000000000001E-2</v>
      </c>
      <c r="Q926">
        <v>35</v>
      </c>
      <c r="R926">
        <v>7</v>
      </c>
      <c r="S926">
        <v>-0.83899999999999997</v>
      </c>
    </row>
    <row r="927" spans="1:19" x14ac:dyDescent="0.25">
      <c r="A927">
        <v>1030</v>
      </c>
      <c r="B927">
        <v>2</v>
      </c>
      <c r="C927" t="s">
        <v>19</v>
      </c>
      <c r="D927">
        <v>4.95</v>
      </c>
      <c r="E927">
        <v>31.7</v>
      </c>
      <c r="F927">
        <v>171.19</v>
      </c>
      <c r="G927">
        <v>412.27</v>
      </c>
      <c r="H927" t="s">
        <v>22</v>
      </c>
      <c r="I927">
        <v>221</v>
      </c>
      <c r="J927">
        <v>535</v>
      </c>
      <c r="K927" t="s">
        <v>22</v>
      </c>
      <c r="L927">
        <v>949</v>
      </c>
      <c r="M927">
        <v>6.1</v>
      </c>
      <c r="N927" t="s">
        <v>23</v>
      </c>
      <c r="O927">
        <v>96.5</v>
      </c>
      <c r="P927">
        <f>P926</f>
        <v>9.5000000000000001E-2</v>
      </c>
      <c r="Q927">
        <v>35</v>
      </c>
      <c r="R927">
        <v>14</v>
      </c>
      <c r="S927">
        <v>-0.66800000000000004</v>
      </c>
    </row>
    <row r="928" spans="1:19" x14ac:dyDescent="0.25">
      <c r="A928">
        <v>1030</v>
      </c>
      <c r="B928">
        <v>2</v>
      </c>
      <c r="C928" t="s">
        <v>19</v>
      </c>
      <c r="D928">
        <v>4.95</v>
      </c>
      <c r="E928">
        <v>31.7</v>
      </c>
      <c r="F928">
        <v>171.19</v>
      </c>
      <c r="G928">
        <v>412.27</v>
      </c>
      <c r="H928" t="s">
        <v>22</v>
      </c>
      <c r="I928">
        <v>221</v>
      </c>
      <c r="J928">
        <v>535</v>
      </c>
      <c r="K928" t="s">
        <v>22</v>
      </c>
      <c r="L928">
        <v>949</v>
      </c>
      <c r="M928">
        <v>6.1</v>
      </c>
      <c r="N928" t="s">
        <v>23</v>
      </c>
      <c r="O928">
        <v>96.5</v>
      </c>
      <c r="P928">
        <v>9.5000000000000001E-2</v>
      </c>
      <c r="Q928">
        <v>35</v>
      </c>
      <c r="R928">
        <v>14</v>
      </c>
      <c r="S928">
        <v>-0.36599999999999999</v>
      </c>
    </row>
    <row r="929" spans="1:19" x14ac:dyDescent="0.25">
      <c r="A929">
        <v>1030</v>
      </c>
      <c r="B929">
        <v>2</v>
      </c>
      <c r="C929" t="s">
        <v>19</v>
      </c>
      <c r="D929">
        <v>4.95</v>
      </c>
      <c r="E929">
        <v>31.7</v>
      </c>
      <c r="F929">
        <v>171.19</v>
      </c>
      <c r="G929">
        <v>412.27</v>
      </c>
      <c r="H929" t="s">
        <v>22</v>
      </c>
      <c r="I929">
        <v>221</v>
      </c>
      <c r="J929">
        <v>535</v>
      </c>
      <c r="K929" t="s">
        <v>22</v>
      </c>
      <c r="L929">
        <v>949</v>
      </c>
      <c r="M929">
        <v>6.1</v>
      </c>
      <c r="N929" t="s">
        <v>23</v>
      </c>
      <c r="O929">
        <v>96.5</v>
      </c>
      <c r="P929">
        <v>9.5000000000000001E-2</v>
      </c>
      <c r="Q929">
        <v>35</v>
      </c>
      <c r="R929">
        <v>21</v>
      </c>
      <c r="S929">
        <v>-0.154</v>
      </c>
    </row>
    <row r="930" spans="1:19" x14ac:dyDescent="0.25">
      <c r="A930">
        <v>1030</v>
      </c>
      <c r="B930">
        <v>2</v>
      </c>
      <c r="C930" t="s">
        <v>19</v>
      </c>
      <c r="D930">
        <v>4.95</v>
      </c>
      <c r="E930">
        <v>31.7</v>
      </c>
      <c r="F930">
        <v>171.19</v>
      </c>
      <c r="G930">
        <v>412.27</v>
      </c>
      <c r="H930" t="s">
        <v>22</v>
      </c>
      <c r="I930">
        <v>221</v>
      </c>
      <c r="J930">
        <v>535</v>
      </c>
      <c r="K930" t="s">
        <v>22</v>
      </c>
      <c r="L930">
        <v>949</v>
      </c>
      <c r="M930">
        <v>6.1</v>
      </c>
      <c r="N930" t="s">
        <v>23</v>
      </c>
      <c r="O930">
        <v>96.5</v>
      </c>
      <c r="P930">
        <v>9.5000000000000001E-2</v>
      </c>
      <c r="Q930">
        <v>35</v>
      </c>
      <c r="R930">
        <v>21</v>
      </c>
      <c r="S930">
        <v>0.54200000000000004</v>
      </c>
    </row>
    <row r="931" spans="1:19" x14ac:dyDescent="0.25">
      <c r="A931">
        <v>1030</v>
      </c>
      <c r="B931">
        <v>2</v>
      </c>
      <c r="C931" t="s">
        <v>19</v>
      </c>
      <c r="D931">
        <v>4.95</v>
      </c>
      <c r="E931">
        <v>31.7</v>
      </c>
      <c r="F931">
        <v>171.19</v>
      </c>
      <c r="G931">
        <v>412.27</v>
      </c>
      <c r="H931" t="s">
        <v>22</v>
      </c>
      <c r="I931">
        <v>221</v>
      </c>
      <c r="J931">
        <v>535</v>
      </c>
      <c r="K931" t="s">
        <v>22</v>
      </c>
      <c r="L931">
        <v>949</v>
      </c>
      <c r="M931">
        <v>6.1</v>
      </c>
      <c r="N931" t="s">
        <v>23</v>
      </c>
      <c r="O931">
        <v>96.5</v>
      </c>
      <c r="P931">
        <v>9.5000000000000001E-2</v>
      </c>
      <c r="Q931">
        <v>35</v>
      </c>
      <c r="R931">
        <v>28</v>
      </c>
      <c r="S931">
        <v>0.254</v>
      </c>
    </row>
    <row r="932" spans="1:19" x14ac:dyDescent="0.25">
      <c r="A932">
        <v>1030</v>
      </c>
      <c r="B932">
        <v>2</v>
      </c>
      <c r="C932" t="s">
        <v>19</v>
      </c>
      <c r="D932">
        <v>4.95</v>
      </c>
      <c r="E932">
        <v>31.7</v>
      </c>
      <c r="F932">
        <v>171.19</v>
      </c>
      <c r="G932">
        <v>412.27</v>
      </c>
      <c r="H932" t="s">
        <v>22</v>
      </c>
      <c r="I932">
        <v>221</v>
      </c>
      <c r="J932">
        <v>535</v>
      </c>
      <c r="K932" t="s">
        <v>22</v>
      </c>
      <c r="L932">
        <v>949</v>
      </c>
      <c r="M932">
        <v>6.1</v>
      </c>
      <c r="N932" t="s">
        <v>23</v>
      </c>
      <c r="O932">
        <v>96.5</v>
      </c>
      <c r="P932">
        <v>9.5000000000000001E-2</v>
      </c>
      <c r="Q932">
        <v>35</v>
      </c>
      <c r="R932">
        <v>28</v>
      </c>
      <c r="S932">
        <v>0.70799999999999996</v>
      </c>
    </row>
    <row r="933" spans="1:19" x14ac:dyDescent="0.25">
      <c r="A933">
        <v>1030</v>
      </c>
      <c r="B933">
        <v>3</v>
      </c>
      <c r="C933" t="s">
        <v>19</v>
      </c>
      <c r="D933">
        <v>4.95</v>
      </c>
      <c r="E933">
        <v>31.7</v>
      </c>
      <c r="F933">
        <v>171.19</v>
      </c>
      <c r="G933">
        <v>412.27</v>
      </c>
      <c r="H933" t="s">
        <v>22</v>
      </c>
      <c r="I933">
        <v>157</v>
      </c>
      <c r="J933">
        <v>455</v>
      </c>
      <c r="K933" t="s">
        <v>22</v>
      </c>
      <c r="L933">
        <v>895</v>
      </c>
      <c r="M933">
        <v>6.4</v>
      </c>
      <c r="N933" t="s">
        <v>23</v>
      </c>
      <c r="O933">
        <v>96.2</v>
      </c>
      <c r="P933">
        <v>0.49769999999999998</v>
      </c>
      <c r="Q933">
        <v>35</v>
      </c>
      <c r="R933">
        <v>7</v>
      </c>
      <c r="S933">
        <v>-6.9139999999999997</v>
      </c>
    </row>
    <row r="934" spans="1:19" x14ac:dyDescent="0.25">
      <c r="A934">
        <v>1030</v>
      </c>
      <c r="B934">
        <v>3</v>
      </c>
      <c r="C934" t="s">
        <v>19</v>
      </c>
      <c r="D934">
        <v>4.95</v>
      </c>
      <c r="E934">
        <v>31.7</v>
      </c>
      <c r="F934">
        <v>171.19</v>
      </c>
      <c r="G934">
        <v>412.27</v>
      </c>
      <c r="H934" t="s">
        <v>22</v>
      </c>
      <c r="I934">
        <v>157</v>
      </c>
      <c r="J934">
        <v>455</v>
      </c>
      <c r="K934" t="s">
        <v>22</v>
      </c>
      <c r="L934">
        <v>895</v>
      </c>
      <c r="M934">
        <v>6.4</v>
      </c>
      <c r="N934" t="s">
        <v>23</v>
      </c>
      <c r="O934">
        <v>96.2</v>
      </c>
      <c r="P934">
        <v>0.49769999999999998</v>
      </c>
      <c r="Q934">
        <v>35</v>
      </c>
      <c r="R934">
        <v>7</v>
      </c>
      <c r="S934">
        <v>-6.0419999999999998</v>
      </c>
    </row>
    <row r="935" spans="1:19" x14ac:dyDescent="0.25">
      <c r="A935">
        <v>1030</v>
      </c>
      <c r="B935">
        <v>3</v>
      </c>
      <c r="C935" t="s">
        <v>19</v>
      </c>
      <c r="D935">
        <v>4.95</v>
      </c>
      <c r="E935">
        <v>31.7</v>
      </c>
      <c r="F935">
        <v>171.19</v>
      </c>
      <c r="G935">
        <v>412.27</v>
      </c>
      <c r="H935" t="s">
        <v>22</v>
      </c>
      <c r="I935">
        <v>157</v>
      </c>
      <c r="J935">
        <v>455</v>
      </c>
      <c r="K935" t="s">
        <v>22</v>
      </c>
      <c r="L935">
        <v>895</v>
      </c>
      <c r="M935">
        <v>6.4</v>
      </c>
      <c r="N935" t="s">
        <v>23</v>
      </c>
      <c r="O935">
        <v>96.2</v>
      </c>
      <c r="P935">
        <v>0.49769999999999998</v>
      </c>
      <c r="Q935">
        <v>35</v>
      </c>
      <c r="R935">
        <v>14</v>
      </c>
      <c r="S935">
        <v>-7.1289999999999996</v>
      </c>
    </row>
    <row r="936" spans="1:19" x14ac:dyDescent="0.25">
      <c r="A936">
        <v>1030</v>
      </c>
      <c r="B936">
        <v>3</v>
      </c>
      <c r="C936" t="s">
        <v>19</v>
      </c>
      <c r="D936">
        <v>4.95</v>
      </c>
      <c r="E936">
        <v>31.7</v>
      </c>
      <c r="F936">
        <v>171.19</v>
      </c>
      <c r="G936">
        <v>412.27</v>
      </c>
      <c r="H936" t="s">
        <v>22</v>
      </c>
      <c r="I936">
        <v>157</v>
      </c>
      <c r="J936">
        <v>455</v>
      </c>
      <c r="K936" t="s">
        <v>22</v>
      </c>
      <c r="L936">
        <v>895</v>
      </c>
      <c r="M936">
        <v>6.4</v>
      </c>
      <c r="N936" t="s">
        <v>23</v>
      </c>
      <c r="O936">
        <v>96.2</v>
      </c>
      <c r="P936">
        <v>0.49769999999999998</v>
      </c>
      <c r="Q936">
        <v>35</v>
      </c>
      <c r="R936">
        <v>14</v>
      </c>
      <c r="S936">
        <v>-6.8739999999999997</v>
      </c>
    </row>
    <row r="937" spans="1:19" x14ac:dyDescent="0.25">
      <c r="A937">
        <v>1030</v>
      </c>
      <c r="B937">
        <v>3</v>
      </c>
      <c r="C937" t="s">
        <v>19</v>
      </c>
      <c r="D937">
        <v>4.95</v>
      </c>
      <c r="E937">
        <v>31.7</v>
      </c>
      <c r="F937">
        <v>171.19</v>
      </c>
      <c r="G937">
        <v>412.27</v>
      </c>
      <c r="H937" t="s">
        <v>22</v>
      </c>
      <c r="I937">
        <v>157</v>
      </c>
      <c r="J937">
        <v>455</v>
      </c>
      <c r="K937" t="s">
        <v>22</v>
      </c>
      <c r="L937">
        <v>895</v>
      </c>
      <c r="M937">
        <v>6.4</v>
      </c>
      <c r="N937" t="s">
        <v>23</v>
      </c>
      <c r="O937">
        <v>96.2</v>
      </c>
      <c r="P937">
        <v>0.49769999999999998</v>
      </c>
      <c r="Q937">
        <v>35</v>
      </c>
      <c r="R937">
        <v>21</v>
      </c>
      <c r="S937">
        <v>-5.0869999999999997</v>
      </c>
    </row>
    <row r="938" spans="1:19" x14ac:dyDescent="0.25">
      <c r="A938">
        <v>1030</v>
      </c>
      <c r="B938">
        <v>3</v>
      </c>
      <c r="C938" t="s">
        <v>19</v>
      </c>
      <c r="D938">
        <v>4.95</v>
      </c>
      <c r="E938">
        <v>31.7</v>
      </c>
      <c r="F938">
        <v>171.19</v>
      </c>
      <c r="G938">
        <v>412.27</v>
      </c>
      <c r="H938" t="s">
        <v>22</v>
      </c>
      <c r="I938">
        <v>157</v>
      </c>
      <c r="J938">
        <v>455</v>
      </c>
      <c r="K938" t="s">
        <v>22</v>
      </c>
      <c r="L938">
        <v>895</v>
      </c>
      <c r="M938">
        <v>6.4</v>
      </c>
      <c r="N938" t="s">
        <v>23</v>
      </c>
      <c r="O938">
        <v>96.2</v>
      </c>
      <c r="P938">
        <v>0.49769999999999998</v>
      </c>
      <c r="Q938">
        <v>35</v>
      </c>
      <c r="R938">
        <v>21</v>
      </c>
      <c r="S938">
        <v>-4.4870000000000001</v>
      </c>
    </row>
    <row r="939" spans="1:19" x14ac:dyDescent="0.25">
      <c r="A939">
        <v>1030</v>
      </c>
      <c r="B939">
        <v>3</v>
      </c>
      <c r="C939" t="s">
        <v>19</v>
      </c>
      <c r="D939">
        <v>4.95</v>
      </c>
      <c r="E939">
        <v>31.7</v>
      </c>
      <c r="F939">
        <v>171.19</v>
      </c>
      <c r="G939">
        <v>412.27</v>
      </c>
      <c r="H939" t="s">
        <v>22</v>
      </c>
      <c r="I939">
        <v>157</v>
      </c>
      <c r="J939">
        <v>455</v>
      </c>
      <c r="K939" t="s">
        <v>22</v>
      </c>
      <c r="L939">
        <v>895</v>
      </c>
      <c r="M939">
        <v>6.4</v>
      </c>
      <c r="N939" t="s">
        <v>23</v>
      </c>
      <c r="O939">
        <v>96.2</v>
      </c>
      <c r="P939">
        <v>0.49769999999999998</v>
      </c>
      <c r="Q939">
        <v>35</v>
      </c>
      <c r="R939">
        <v>28</v>
      </c>
      <c r="S939">
        <v>-3.4489999999999998</v>
      </c>
    </row>
    <row r="940" spans="1:19" x14ac:dyDescent="0.25">
      <c r="A940">
        <v>1030</v>
      </c>
      <c r="B940">
        <v>3</v>
      </c>
      <c r="C940" t="s">
        <v>19</v>
      </c>
      <c r="D940">
        <v>4.95</v>
      </c>
      <c r="E940">
        <v>31.7</v>
      </c>
      <c r="F940">
        <v>171.19</v>
      </c>
      <c r="G940">
        <v>412.27</v>
      </c>
      <c r="H940" t="s">
        <v>22</v>
      </c>
      <c r="I940">
        <v>157</v>
      </c>
      <c r="J940">
        <v>455</v>
      </c>
      <c r="K940" t="s">
        <v>22</v>
      </c>
      <c r="L940">
        <v>895</v>
      </c>
      <c r="M940">
        <v>6.4</v>
      </c>
      <c r="N940" t="s">
        <v>23</v>
      </c>
      <c r="O940">
        <v>96.2</v>
      </c>
      <c r="P940">
        <v>0.49769999999999998</v>
      </c>
      <c r="Q940">
        <v>35</v>
      </c>
      <c r="R940">
        <v>28</v>
      </c>
      <c r="S940">
        <v>-1.8029999999999999</v>
      </c>
    </row>
    <row r="941" spans="1:19" x14ac:dyDescent="0.25">
      <c r="A941">
        <v>1031</v>
      </c>
      <c r="B941">
        <v>1</v>
      </c>
      <c r="C941" t="s">
        <v>19</v>
      </c>
      <c r="D941">
        <v>4.95</v>
      </c>
      <c r="E941">
        <v>31.7</v>
      </c>
      <c r="F941">
        <v>169</v>
      </c>
      <c r="G941">
        <v>417.5</v>
      </c>
      <c r="H941" t="s">
        <v>20</v>
      </c>
      <c r="I941">
        <v>650</v>
      </c>
      <c r="J941">
        <v>730</v>
      </c>
      <c r="K941" t="s">
        <v>22</v>
      </c>
      <c r="L941">
        <v>45.77</v>
      </c>
      <c r="M941">
        <v>7.66</v>
      </c>
      <c r="N941" t="s">
        <v>32</v>
      </c>
      <c r="O941">
        <v>25</v>
      </c>
      <c r="P941">
        <v>124.83</v>
      </c>
      <c r="Q941">
        <v>25</v>
      </c>
      <c r="R941">
        <v>60</v>
      </c>
      <c r="S941">
        <v>0.46129999999999999</v>
      </c>
    </row>
    <row r="942" spans="1:19" x14ac:dyDescent="0.25">
      <c r="A942">
        <v>1031</v>
      </c>
      <c r="B942">
        <v>1</v>
      </c>
      <c r="C942" t="s">
        <v>19</v>
      </c>
      <c r="D942">
        <v>4.95</v>
      </c>
      <c r="E942">
        <v>31.7</v>
      </c>
      <c r="F942">
        <v>169</v>
      </c>
      <c r="G942">
        <v>417.5</v>
      </c>
      <c r="H942" t="s">
        <v>20</v>
      </c>
      <c r="I942">
        <v>650</v>
      </c>
      <c r="J942">
        <v>730</v>
      </c>
      <c r="K942" t="s">
        <v>22</v>
      </c>
      <c r="L942">
        <f>L941</f>
        <v>45.77</v>
      </c>
      <c r="M942">
        <v>7.66</v>
      </c>
      <c r="N942" t="s">
        <v>32</v>
      </c>
      <c r="O942">
        <v>25</v>
      </c>
      <c r="P942">
        <v>124.83</v>
      </c>
      <c r="Q942">
        <v>25</v>
      </c>
      <c r="R942">
        <v>120</v>
      </c>
      <c r="S942">
        <v>0.52180000000000004</v>
      </c>
    </row>
    <row r="943" spans="1:19" x14ac:dyDescent="0.25">
      <c r="A943">
        <v>1031</v>
      </c>
      <c r="B943">
        <v>1</v>
      </c>
      <c r="C943" t="s">
        <v>19</v>
      </c>
      <c r="D943">
        <v>4.95</v>
      </c>
      <c r="E943">
        <v>31.7</v>
      </c>
      <c r="F943">
        <v>169</v>
      </c>
      <c r="G943">
        <v>417.5</v>
      </c>
      <c r="H943" t="s">
        <v>20</v>
      </c>
      <c r="I943">
        <v>650</v>
      </c>
      <c r="J943">
        <v>730</v>
      </c>
      <c r="K943" t="s">
        <v>22</v>
      </c>
      <c r="L943">
        <v>45.77</v>
      </c>
      <c r="M943">
        <v>7.66</v>
      </c>
      <c r="N943" t="s">
        <v>32</v>
      </c>
      <c r="O943">
        <v>25</v>
      </c>
      <c r="P943">
        <v>124.83</v>
      </c>
      <c r="Q943">
        <v>25</v>
      </c>
      <c r="R943">
        <v>150</v>
      </c>
      <c r="S943">
        <v>0.51659999999999995</v>
      </c>
    </row>
    <row r="944" spans="1:19" x14ac:dyDescent="0.25">
      <c r="A944">
        <v>1031</v>
      </c>
      <c r="B944">
        <v>2</v>
      </c>
      <c r="C944" t="s">
        <v>19</v>
      </c>
      <c r="D944">
        <v>4.95</v>
      </c>
      <c r="E944">
        <v>31.7</v>
      </c>
      <c r="F944">
        <v>169</v>
      </c>
      <c r="G944">
        <v>417.5</v>
      </c>
      <c r="H944" t="str">
        <f>H943</f>
        <v>壤土</v>
      </c>
      <c r="I944">
        <v>650</v>
      </c>
      <c r="J944">
        <v>730</v>
      </c>
      <c r="K944" t="s">
        <v>22</v>
      </c>
      <c r="L944">
        <v>45.77</v>
      </c>
      <c r="M944">
        <v>7.66</v>
      </c>
      <c r="N944" t="s">
        <v>32</v>
      </c>
      <c r="O944">
        <v>25</v>
      </c>
      <c r="P944">
        <v>124.83</v>
      </c>
      <c r="Q944">
        <v>25</v>
      </c>
      <c r="R944">
        <v>60</v>
      </c>
      <c r="S944">
        <v>0.26329999999999998</v>
      </c>
    </row>
    <row r="945" spans="1:19" x14ac:dyDescent="0.25">
      <c r="A945">
        <v>1031</v>
      </c>
      <c r="B945">
        <v>2</v>
      </c>
      <c r="C945" t="s">
        <v>19</v>
      </c>
      <c r="D945">
        <v>4.95</v>
      </c>
      <c r="E945">
        <v>31.7</v>
      </c>
      <c r="F945">
        <v>169</v>
      </c>
      <c r="G945">
        <v>417.5</v>
      </c>
      <c r="H945" t="s">
        <v>20</v>
      </c>
      <c r="I945">
        <v>650</v>
      </c>
      <c r="J945">
        <v>730</v>
      </c>
      <c r="K945" t="s">
        <v>22</v>
      </c>
      <c r="L945">
        <v>45.77</v>
      </c>
      <c r="M945">
        <v>7.66</v>
      </c>
      <c r="N945" t="s">
        <v>32</v>
      </c>
      <c r="O945">
        <v>25</v>
      </c>
      <c r="P945">
        <v>124.83</v>
      </c>
      <c r="Q945">
        <v>25</v>
      </c>
      <c r="R945">
        <v>120</v>
      </c>
      <c r="S945">
        <v>0.29520000000000002</v>
      </c>
    </row>
    <row r="946" spans="1:19" x14ac:dyDescent="0.25">
      <c r="A946">
        <v>1031</v>
      </c>
      <c r="B946">
        <v>2</v>
      </c>
      <c r="C946" t="s">
        <v>19</v>
      </c>
      <c r="D946">
        <v>4.95</v>
      </c>
      <c r="E946">
        <v>31.7</v>
      </c>
      <c r="F946">
        <v>169</v>
      </c>
      <c r="G946">
        <v>417.5</v>
      </c>
      <c r="H946" t="s">
        <v>20</v>
      </c>
      <c r="I946">
        <v>650</v>
      </c>
      <c r="J946">
        <v>730</v>
      </c>
      <c r="K946" t="s">
        <v>22</v>
      </c>
      <c r="L946">
        <v>45.77</v>
      </c>
      <c r="M946">
        <v>7.66</v>
      </c>
      <c r="N946" t="s">
        <v>32</v>
      </c>
      <c r="O946">
        <v>25</v>
      </c>
      <c r="P946">
        <v>124.83</v>
      </c>
      <c r="Q946">
        <v>25</v>
      </c>
      <c r="R946">
        <v>150</v>
      </c>
      <c r="S946">
        <v>0.47849999999999998</v>
      </c>
    </row>
    <row r="947" spans="1:19" x14ac:dyDescent="0.25">
      <c r="A947">
        <v>1031</v>
      </c>
      <c r="B947">
        <v>3</v>
      </c>
      <c r="C947" t="s">
        <v>19</v>
      </c>
      <c r="D947">
        <v>4.95</v>
      </c>
      <c r="E947">
        <v>31.7</v>
      </c>
      <c r="F947">
        <v>169</v>
      </c>
      <c r="G947">
        <v>417.5</v>
      </c>
      <c r="H947" t="s">
        <v>20</v>
      </c>
      <c r="I947">
        <v>650</v>
      </c>
      <c r="J947">
        <v>730</v>
      </c>
      <c r="K947" t="s">
        <v>22</v>
      </c>
      <c r="L947">
        <v>45.77</v>
      </c>
      <c r="M947">
        <v>7.66</v>
      </c>
      <c r="N947" t="s">
        <v>32</v>
      </c>
      <c r="O947">
        <v>25</v>
      </c>
      <c r="P947">
        <v>124.83</v>
      </c>
      <c r="Q947">
        <v>25</v>
      </c>
      <c r="R947">
        <v>60</v>
      </c>
      <c r="S947">
        <v>0.53659999999999997</v>
      </c>
    </row>
    <row r="948" spans="1:19" x14ac:dyDescent="0.25">
      <c r="A948">
        <v>1031</v>
      </c>
      <c r="B948">
        <v>3</v>
      </c>
      <c r="C948" t="s">
        <v>19</v>
      </c>
      <c r="D948">
        <v>4.95</v>
      </c>
      <c r="E948">
        <v>31.7</v>
      </c>
      <c r="F948">
        <v>169</v>
      </c>
      <c r="G948">
        <v>417.5</v>
      </c>
      <c r="H948" t="s">
        <v>20</v>
      </c>
      <c r="I948">
        <v>650</v>
      </c>
      <c r="J948">
        <v>730</v>
      </c>
      <c r="K948" t="s">
        <v>22</v>
      </c>
      <c r="L948">
        <v>45.77</v>
      </c>
      <c r="M948">
        <v>7.66</v>
      </c>
      <c r="N948" t="s">
        <v>32</v>
      </c>
      <c r="O948">
        <v>25</v>
      </c>
      <c r="P948">
        <v>124.83</v>
      </c>
      <c r="Q948">
        <v>25</v>
      </c>
      <c r="R948">
        <v>120</v>
      </c>
      <c r="S948">
        <v>0.65749999999999997</v>
      </c>
    </row>
    <row r="949" spans="1:19" x14ac:dyDescent="0.25">
      <c r="A949">
        <v>1031</v>
      </c>
      <c r="B949">
        <v>3</v>
      </c>
      <c r="C949" t="s">
        <v>19</v>
      </c>
      <c r="D949">
        <v>4.95</v>
      </c>
      <c r="E949">
        <v>31.7</v>
      </c>
      <c r="F949">
        <v>169</v>
      </c>
      <c r="G949">
        <v>417.5</v>
      </c>
      <c r="H949" t="s">
        <v>20</v>
      </c>
      <c r="I949">
        <v>650</v>
      </c>
      <c r="J949">
        <v>730</v>
      </c>
      <c r="K949" t="s">
        <v>22</v>
      </c>
      <c r="L949">
        <v>45.77</v>
      </c>
      <c r="M949">
        <v>7.66</v>
      </c>
      <c r="N949" t="s">
        <v>32</v>
      </c>
      <c r="O949">
        <v>25</v>
      </c>
      <c r="P949">
        <v>124.83</v>
      </c>
      <c r="Q949">
        <v>25</v>
      </c>
      <c r="R949">
        <v>150</v>
      </c>
      <c r="S949">
        <v>0.65700000000000003</v>
      </c>
    </row>
    <row r="950" spans="1:19" x14ac:dyDescent="0.25">
      <c r="A950">
        <v>1031</v>
      </c>
      <c r="B950">
        <v>4</v>
      </c>
      <c r="C950" t="s">
        <v>19</v>
      </c>
      <c r="D950">
        <v>4.95</v>
      </c>
      <c r="E950">
        <v>31.7</v>
      </c>
      <c r="F950">
        <v>169</v>
      </c>
      <c r="G950">
        <v>417.5</v>
      </c>
      <c r="H950" t="s">
        <v>20</v>
      </c>
      <c r="I950">
        <v>650</v>
      </c>
      <c r="J950">
        <v>730</v>
      </c>
      <c r="K950" t="s">
        <v>22</v>
      </c>
      <c r="L950">
        <v>45.77</v>
      </c>
      <c r="M950">
        <v>7.66</v>
      </c>
      <c r="N950" t="s">
        <v>32</v>
      </c>
      <c r="O950">
        <v>25</v>
      </c>
      <c r="P950">
        <v>124.83</v>
      </c>
      <c r="Q950">
        <v>25</v>
      </c>
      <c r="R950">
        <v>60</v>
      </c>
      <c r="S950">
        <v>0.41830000000000001</v>
      </c>
    </row>
    <row r="951" spans="1:19" x14ac:dyDescent="0.25">
      <c r="A951">
        <v>1031</v>
      </c>
      <c r="B951">
        <v>4</v>
      </c>
      <c r="C951" t="s">
        <v>19</v>
      </c>
      <c r="D951">
        <v>4.95</v>
      </c>
      <c r="E951">
        <v>31.7</v>
      </c>
      <c r="F951">
        <v>169</v>
      </c>
      <c r="G951">
        <v>417.5</v>
      </c>
      <c r="H951" t="s">
        <v>20</v>
      </c>
      <c r="I951">
        <v>650</v>
      </c>
      <c r="J951">
        <v>730</v>
      </c>
      <c r="K951" t="s">
        <v>22</v>
      </c>
      <c r="L951">
        <v>45.77</v>
      </c>
      <c r="M951">
        <v>7.66</v>
      </c>
      <c r="N951" t="s">
        <v>32</v>
      </c>
      <c r="O951">
        <v>25</v>
      </c>
      <c r="P951">
        <v>124.83</v>
      </c>
      <c r="Q951">
        <v>25</v>
      </c>
      <c r="R951">
        <v>120</v>
      </c>
      <c r="S951">
        <v>0.56120000000000003</v>
      </c>
    </row>
    <row r="952" spans="1:19" x14ac:dyDescent="0.25">
      <c r="A952">
        <v>1031</v>
      </c>
      <c r="B952">
        <v>4</v>
      </c>
      <c r="C952" t="s">
        <v>19</v>
      </c>
      <c r="D952">
        <v>4.95</v>
      </c>
      <c r="E952">
        <v>31.7</v>
      </c>
      <c r="F952">
        <v>169</v>
      </c>
      <c r="G952">
        <v>417.5</v>
      </c>
      <c r="H952" t="s">
        <v>20</v>
      </c>
      <c r="I952">
        <v>650</v>
      </c>
      <c r="J952">
        <v>730</v>
      </c>
      <c r="K952" t="s">
        <v>22</v>
      </c>
      <c r="L952">
        <v>45.77</v>
      </c>
      <c r="M952">
        <v>7.66</v>
      </c>
      <c r="N952" t="s">
        <v>32</v>
      </c>
      <c r="O952">
        <v>25</v>
      </c>
      <c r="P952">
        <v>124.83</v>
      </c>
      <c r="Q952">
        <v>25</v>
      </c>
      <c r="R952">
        <v>150</v>
      </c>
      <c r="S952">
        <v>0.69740000000000002</v>
      </c>
    </row>
    <row r="953" spans="1:19" x14ac:dyDescent="0.25">
      <c r="A953">
        <v>1031</v>
      </c>
      <c r="B953">
        <v>5</v>
      </c>
      <c r="C953" t="s">
        <v>19</v>
      </c>
      <c r="D953">
        <v>4.95</v>
      </c>
      <c r="E953">
        <v>31.7</v>
      </c>
      <c r="F953">
        <v>169</v>
      </c>
      <c r="G953">
        <v>417.5</v>
      </c>
      <c r="H953" t="s">
        <v>20</v>
      </c>
      <c r="I953">
        <v>650</v>
      </c>
      <c r="J953">
        <v>730</v>
      </c>
      <c r="K953" t="s">
        <v>22</v>
      </c>
      <c r="L953">
        <v>45.77</v>
      </c>
      <c r="M953">
        <v>7.66</v>
      </c>
      <c r="N953" t="s">
        <v>32</v>
      </c>
      <c r="O953">
        <v>25</v>
      </c>
      <c r="P953">
        <v>124.83</v>
      </c>
      <c r="Q953">
        <v>25</v>
      </c>
      <c r="R953">
        <v>60</v>
      </c>
      <c r="S953">
        <v>0.3367</v>
      </c>
    </row>
    <row r="954" spans="1:19" x14ac:dyDescent="0.25">
      <c r="A954">
        <v>1031</v>
      </c>
      <c r="B954">
        <v>5</v>
      </c>
      <c r="C954" t="s">
        <v>19</v>
      </c>
      <c r="D954">
        <v>4.95</v>
      </c>
      <c r="E954">
        <v>31.7</v>
      </c>
      <c r="F954">
        <v>169</v>
      </c>
      <c r="G954">
        <v>417.5</v>
      </c>
      <c r="H954" t="s">
        <v>20</v>
      </c>
      <c r="I954">
        <v>650</v>
      </c>
      <c r="J954">
        <v>730</v>
      </c>
      <c r="K954" t="s">
        <v>22</v>
      </c>
      <c r="L954">
        <v>45.77</v>
      </c>
      <c r="M954">
        <v>7.66</v>
      </c>
      <c r="N954" t="s">
        <v>32</v>
      </c>
      <c r="O954">
        <v>25</v>
      </c>
      <c r="P954">
        <v>124.83</v>
      </c>
      <c r="Q954">
        <v>25</v>
      </c>
      <c r="R954">
        <v>120</v>
      </c>
      <c r="S954">
        <v>0.25019999999999998</v>
      </c>
    </row>
    <row r="955" spans="1:19" x14ac:dyDescent="0.25">
      <c r="A955">
        <v>1031</v>
      </c>
      <c r="B955">
        <v>5</v>
      </c>
      <c r="C955" t="s">
        <v>19</v>
      </c>
      <c r="D955">
        <v>4.95</v>
      </c>
      <c r="E955">
        <v>31.7</v>
      </c>
      <c r="F955">
        <v>169</v>
      </c>
      <c r="G955">
        <v>417.5</v>
      </c>
      <c r="H955" t="s">
        <v>20</v>
      </c>
      <c r="I955">
        <v>650</v>
      </c>
      <c r="J955">
        <v>730</v>
      </c>
      <c r="K955" t="s">
        <v>22</v>
      </c>
      <c r="L955">
        <v>45.77</v>
      </c>
      <c r="M955">
        <v>7.66</v>
      </c>
      <c r="N955" t="s">
        <v>32</v>
      </c>
      <c r="O955">
        <v>25</v>
      </c>
      <c r="P955">
        <v>124.83</v>
      </c>
      <c r="Q955">
        <v>25</v>
      </c>
      <c r="R955">
        <v>150</v>
      </c>
      <c r="S955">
        <v>0.22789999999999999</v>
      </c>
    </row>
    <row r="956" spans="1:19" x14ac:dyDescent="0.25">
      <c r="A956">
        <v>1031</v>
      </c>
      <c r="B956">
        <v>6</v>
      </c>
      <c r="C956" t="s">
        <v>19</v>
      </c>
      <c r="D956">
        <v>4.95</v>
      </c>
      <c r="E956">
        <v>31.7</v>
      </c>
      <c r="F956">
        <v>169</v>
      </c>
      <c r="G956">
        <v>417.5</v>
      </c>
      <c r="H956" t="s">
        <v>20</v>
      </c>
      <c r="I956">
        <v>650</v>
      </c>
      <c r="J956">
        <v>730</v>
      </c>
      <c r="K956" t="s">
        <v>22</v>
      </c>
      <c r="L956">
        <v>45.77</v>
      </c>
      <c r="M956">
        <v>7.66</v>
      </c>
      <c r="N956" t="s">
        <v>32</v>
      </c>
      <c r="O956">
        <v>25</v>
      </c>
      <c r="P956">
        <v>124.83</v>
      </c>
      <c r="Q956">
        <v>25</v>
      </c>
      <c r="R956">
        <v>60</v>
      </c>
      <c r="S956">
        <v>0.46810000000000002</v>
      </c>
    </row>
    <row r="957" spans="1:19" x14ac:dyDescent="0.25">
      <c r="A957">
        <v>1031</v>
      </c>
      <c r="B957">
        <v>6</v>
      </c>
      <c r="C957" t="s">
        <v>19</v>
      </c>
      <c r="D957">
        <v>4.95</v>
      </c>
      <c r="E957">
        <v>31.7</v>
      </c>
      <c r="F957">
        <v>169</v>
      </c>
      <c r="G957">
        <v>417.5</v>
      </c>
      <c r="H957" t="s">
        <v>20</v>
      </c>
      <c r="I957">
        <v>650</v>
      </c>
      <c r="J957">
        <v>730</v>
      </c>
      <c r="K957" t="s">
        <v>22</v>
      </c>
      <c r="L957">
        <v>45.77</v>
      </c>
      <c r="M957">
        <v>7.66</v>
      </c>
      <c r="N957" t="s">
        <v>32</v>
      </c>
      <c r="O957">
        <v>25</v>
      </c>
      <c r="P957">
        <v>124.83</v>
      </c>
      <c r="Q957">
        <v>25</v>
      </c>
      <c r="R957">
        <v>120</v>
      </c>
      <c r="S957">
        <v>0.83620000000000005</v>
      </c>
    </row>
    <row r="958" spans="1:19" x14ac:dyDescent="0.25">
      <c r="A958">
        <v>1031</v>
      </c>
      <c r="B958">
        <v>6</v>
      </c>
      <c r="C958" t="s">
        <v>19</v>
      </c>
      <c r="D958">
        <v>4.95</v>
      </c>
      <c r="E958">
        <v>31.7</v>
      </c>
      <c r="F958">
        <v>169</v>
      </c>
      <c r="G958">
        <v>417.5</v>
      </c>
      <c r="H958" t="s">
        <v>20</v>
      </c>
      <c r="I958">
        <v>650</v>
      </c>
      <c r="J958">
        <v>730</v>
      </c>
      <c r="K958" t="s">
        <v>22</v>
      </c>
      <c r="L958">
        <v>45.77</v>
      </c>
      <c r="M958">
        <v>7.66</v>
      </c>
      <c r="N958" t="s">
        <v>32</v>
      </c>
      <c r="O958">
        <v>25</v>
      </c>
      <c r="P958">
        <v>124.83</v>
      </c>
      <c r="Q958">
        <v>25</v>
      </c>
      <c r="R958">
        <v>150</v>
      </c>
      <c r="S958">
        <v>0.86770000000000003</v>
      </c>
    </row>
    <row r="959" spans="1:19" x14ac:dyDescent="0.25">
      <c r="A959">
        <v>1031</v>
      </c>
      <c r="B959">
        <v>7</v>
      </c>
      <c r="C959" t="s">
        <v>19</v>
      </c>
      <c r="D959">
        <v>4.95</v>
      </c>
      <c r="E959">
        <v>31.7</v>
      </c>
      <c r="F959">
        <v>169</v>
      </c>
      <c r="G959">
        <v>417.5</v>
      </c>
      <c r="H959" t="s">
        <v>20</v>
      </c>
      <c r="I959">
        <v>650</v>
      </c>
      <c r="J959">
        <v>730</v>
      </c>
      <c r="K959" t="s">
        <v>22</v>
      </c>
      <c r="L959">
        <v>45.77</v>
      </c>
      <c r="M959">
        <v>7.66</v>
      </c>
      <c r="N959" t="s">
        <v>32</v>
      </c>
      <c r="O959">
        <v>25</v>
      </c>
      <c r="P959">
        <v>183.31</v>
      </c>
      <c r="Q959">
        <v>25</v>
      </c>
      <c r="R959">
        <v>60</v>
      </c>
      <c r="S959">
        <v>0.46879999999999999</v>
      </c>
    </row>
    <row r="960" spans="1:19" x14ac:dyDescent="0.25">
      <c r="A960">
        <v>1031</v>
      </c>
      <c r="B960">
        <v>7</v>
      </c>
      <c r="C960" t="s">
        <v>19</v>
      </c>
      <c r="D960">
        <v>4.95</v>
      </c>
      <c r="E960">
        <v>31.7</v>
      </c>
      <c r="F960">
        <v>169</v>
      </c>
      <c r="G960">
        <v>417.5</v>
      </c>
      <c r="H960" t="s">
        <v>20</v>
      </c>
      <c r="I960">
        <v>650</v>
      </c>
      <c r="J960">
        <v>730</v>
      </c>
      <c r="K960" t="s">
        <v>22</v>
      </c>
      <c r="L960">
        <v>45.77</v>
      </c>
      <c r="M960">
        <v>7.66</v>
      </c>
      <c r="N960" t="s">
        <v>32</v>
      </c>
      <c r="O960">
        <v>25</v>
      </c>
      <c r="P960">
        <v>183.31</v>
      </c>
      <c r="Q960">
        <v>25</v>
      </c>
      <c r="R960">
        <v>120</v>
      </c>
      <c r="S960">
        <v>0.45019999999999999</v>
      </c>
    </row>
    <row r="961" spans="1:19" x14ac:dyDescent="0.25">
      <c r="A961">
        <v>1031</v>
      </c>
      <c r="B961">
        <v>7</v>
      </c>
      <c r="C961" t="s">
        <v>19</v>
      </c>
      <c r="D961">
        <v>4.95</v>
      </c>
      <c r="E961">
        <v>31.7</v>
      </c>
      <c r="F961">
        <v>169</v>
      </c>
      <c r="G961">
        <v>417.5</v>
      </c>
      <c r="H961" t="s">
        <v>20</v>
      </c>
      <c r="I961">
        <v>650</v>
      </c>
      <c r="J961">
        <v>730</v>
      </c>
      <c r="K961" t="s">
        <v>22</v>
      </c>
      <c r="L961">
        <v>45.77</v>
      </c>
      <c r="M961">
        <v>7.66</v>
      </c>
      <c r="N961" t="s">
        <v>32</v>
      </c>
      <c r="O961">
        <v>25</v>
      </c>
      <c r="P961">
        <v>183.31</v>
      </c>
      <c r="Q961">
        <v>25</v>
      </c>
      <c r="R961">
        <v>150</v>
      </c>
      <c r="S961">
        <v>0.50990000000000002</v>
      </c>
    </row>
    <row r="962" spans="1:19" x14ac:dyDescent="0.25">
      <c r="A962">
        <v>1031</v>
      </c>
      <c r="B962">
        <v>8</v>
      </c>
      <c r="C962" t="s">
        <v>19</v>
      </c>
      <c r="D962">
        <v>4.95</v>
      </c>
      <c r="E962">
        <v>31.7</v>
      </c>
      <c r="F962">
        <v>169</v>
      </c>
      <c r="G962">
        <v>417.5</v>
      </c>
      <c r="H962" t="s">
        <v>20</v>
      </c>
      <c r="I962">
        <v>650</v>
      </c>
      <c r="J962">
        <v>730</v>
      </c>
      <c r="K962" t="s">
        <v>22</v>
      </c>
      <c r="L962">
        <v>45.77</v>
      </c>
      <c r="M962">
        <v>7.66</v>
      </c>
      <c r="N962" t="s">
        <v>32</v>
      </c>
      <c r="O962">
        <v>25</v>
      </c>
      <c r="P962">
        <v>183.31</v>
      </c>
      <c r="Q962">
        <v>25</v>
      </c>
      <c r="R962">
        <v>60</v>
      </c>
      <c r="S962">
        <v>0.1754</v>
      </c>
    </row>
    <row r="963" spans="1:19" x14ac:dyDescent="0.25">
      <c r="A963">
        <v>1031</v>
      </c>
      <c r="B963">
        <v>8</v>
      </c>
      <c r="C963" t="s">
        <v>19</v>
      </c>
      <c r="D963">
        <v>4.95</v>
      </c>
      <c r="E963">
        <v>31.7</v>
      </c>
      <c r="F963">
        <v>169</v>
      </c>
      <c r="G963">
        <v>417.5</v>
      </c>
      <c r="H963" t="s">
        <v>20</v>
      </c>
      <c r="I963">
        <v>650</v>
      </c>
      <c r="J963">
        <v>730</v>
      </c>
      <c r="K963" t="s">
        <v>22</v>
      </c>
      <c r="L963">
        <v>45.77</v>
      </c>
      <c r="M963">
        <v>7.66</v>
      </c>
      <c r="N963" t="s">
        <v>32</v>
      </c>
      <c r="O963">
        <v>25</v>
      </c>
      <c r="P963">
        <v>183.31</v>
      </c>
      <c r="Q963">
        <v>25</v>
      </c>
      <c r="R963">
        <v>120</v>
      </c>
      <c r="S963">
        <v>0.23680000000000001</v>
      </c>
    </row>
    <row r="964" spans="1:19" x14ac:dyDescent="0.25">
      <c r="A964">
        <v>1031</v>
      </c>
      <c r="B964">
        <v>8</v>
      </c>
      <c r="C964" t="s">
        <v>19</v>
      </c>
      <c r="D964">
        <v>4.95</v>
      </c>
      <c r="E964">
        <v>31.7</v>
      </c>
      <c r="F964">
        <v>169</v>
      </c>
      <c r="G964">
        <v>417.5</v>
      </c>
      <c r="H964" t="s">
        <v>20</v>
      </c>
      <c r="I964">
        <v>650</v>
      </c>
      <c r="J964">
        <v>730</v>
      </c>
      <c r="K964" t="s">
        <v>22</v>
      </c>
      <c r="L964">
        <v>45.77</v>
      </c>
      <c r="M964">
        <v>7.66</v>
      </c>
      <c r="N964" t="s">
        <v>32</v>
      </c>
      <c r="O964">
        <v>25</v>
      </c>
      <c r="P964">
        <v>183.31</v>
      </c>
      <c r="Q964">
        <v>25</v>
      </c>
      <c r="R964">
        <v>150</v>
      </c>
      <c r="S964">
        <v>0.30919999999999997</v>
      </c>
    </row>
    <row r="965" spans="1:19" x14ac:dyDescent="0.25">
      <c r="A965">
        <v>1031</v>
      </c>
      <c r="B965">
        <v>9</v>
      </c>
      <c r="C965" t="s">
        <v>19</v>
      </c>
      <c r="D965">
        <v>4.95</v>
      </c>
      <c r="E965">
        <v>31.7</v>
      </c>
      <c r="F965">
        <v>169</v>
      </c>
      <c r="G965">
        <v>417.5</v>
      </c>
      <c r="H965" t="s">
        <v>20</v>
      </c>
      <c r="I965">
        <v>650</v>
      </c>
      <c r="J965">
        <v>730</v>
      </c>
      <c r="K965" t="s">
        <v>22</v>
      </c>
      <c r="L965">
        <v>45.77</v>
      </c>
      <c r="M965">
        <v>7.66</v>
      </c>
      <c r="N965" t="s">
        <v>32</v>
      </c>
      <c r="O965">
        <v>25</v>
      </c>
      <c r="P965">
        <v>183.31</v>
      </c>
      <c r="Q965">
        <v>25</v>
      </c>
      <c r="R965">
        <v>60</v>
      </c>
      <c r="S965">
        <v>0.34189999999999998</v>
      </c>
    </row>
    <row r="966" spans="1:19" x14ac:dyDescent="0.25">
      <c r="A966">
        <v>1031</v>
      </c>
      <c r="B966">
        <v>9</v>
      </c>
      <c r="C966" t="s">
        <v>19</v>
      </c>
      <c r="D966">
        <v>4.95</v>
      </c>
      <c r="E966">
        <v>31.7</v>
      </c>
      <c r="F966">
        <v>169</v>
      </c>
      <c r="G966">
        <v>417.5</v>
      </c>
      <c r="H966" t="s">
        <v>20</v>
      </c>
      <c r="I966">
        <v>650</v>
      </c>
      <c r="J966">
        <v>730</v>
      </c>
      <c r="K966" t="s">
        <v>22</v>
      </c>
      <c r="L966">
        <v>45.77</v>
      </c>
      <c r="M966">
        <v>7.66</v>
      </c>
      <c r="N966" t="s">
        <v>32</v>
      </c>
      <c r="O966">
        <v>25</v>
      </c>
      <c r="P966">
        <v>183.31</v>
      </c>
      <c r="Q966">
        <v>25</v>
      </c>
      <c r="R966">
        <v>120</v>
      </c>
      <c r="S966">
        <v>0.44629999999999997</v>
      </c>
    </row>
    <row r="967" spans="1:19" x14ac:dyDescent="0.25">
      <c r="A967">
        <v>1031</v>
      </c>
      <c r="B967">
        <v>9</v>
      </c>
      <c r="C967" t="s">
        <v>19</v>
      </c>
      <c r="D967">
        <v>4.95</v>
      </c>
      <c r="E967">
        <v>31.7</v>
      </c>
      <c r="F967">
        <v>169</v>
      </c>
      <c r="G967">
        <v>417.5</v>
      </c>
      <c r="H967" t="s">
        <v>20</v>
      </c>
      <c r="I967">
        <v>650</v>
      </c>
      <c r="J967">
        <v>730</v>
      </c>
      <c r="K967" t="s">
        <v>22</v>
      </c>
      <c r="L967">
        <v>45.77</v>
      </c>
      <c r="M967">
        <v>7.66</v>
      </c>
      <c r="N967" t="s">
        <v>32</v>
      </c>
      <c r="O967">
        <v>25</v>
      </c>
      <c r="P967">
        <v>183.31</v>
      </c>
      <c r="Q967">
        <v>25</v>
      </c>
      <c r="R967">
        <v>150</v>
      </c>
      <c r="S967">
        <v>0.44590000000000002</v>
      </c>
    </row>
    <row r="968" spans="1:19" x14ac:dyDescent="0.25">
      <c r="A968">
        <v>1031</v>
      </c>
      <c r="B968">
        <v>10</v>
      </c>
      <c r="C968" t="s">
        <v>19</v>
      </c>
      <c r="D968">
        <v>4.95</v>
      </c>
      <c r="E968">
        <v>31.7</v>
      </c>
      <c r="F968">
        <v>169</v>
      </c>
      <c r="G968">
        <v>417.5</v>
      </c>
      <c r="H968" t="s">
        <v>20</v>
      </c>
      <c r="I968">
        <v>650</v>
      </c>
      <c r="J968">
        <v>730</v>
      </c>
      <c r="K968" t="s">
        <v>22</v>
      </c>
      <c r="L968">
        <v>45.77</v>
      </c>
      <c r="M968">
        <v>7.66</v>
      </c>
      <c r="N968" t="s">
        <v>32</v>
      </c>
      <c r="O968">
        <v>25</v>
      </c>
      <c r="P968">
        <v>183.31</v>
      </c>
      <c r="Q968">
        <v>25</v>
      </c>
      <c r="R968">
        <v>60</v>
      </c>
      <c r="S968">
        <v>0.63859999999999995</v>
      </c>
    </row>
    <row r="969" spans="1:19" x14ac:dyDescent="0.25">
      <c r="A969">
        <v>1031</v>
      </c>
      <c r="B969">
        <v>10</v>
      </c>
      <c r="C969" t="s">
        <v>19</v>
      </c>
      <c r="D969">
        <v>4.95</v>
      </c>
      <c r="E969">
        <v>31.7</v>
      </c>
      <c r="F969">
        <v>169</v>
      </c>
      <c r="G969">
        <v>417.5</v>
      </c>
      <c r="H969" t="s">
        <v>20</v>
      </c>
      <c r="I969">
        <v>650</v>
      </c>
      <c r="J969">
        <v>730</v>
      </c>
      <c r="K969" t="s">
        <v>22</v>
      </c>
      <c r="L969">
        <v>45.77</v>
      </c>
      <c r="M969">
        <v>7.66</v>
      </c>
      <c r="N969" t="s">
        <v>32</v>
      </c>
      <c r="O969">
        <v>25</v>
      </c>
      <c r="P969">
        <v>183.31</v>
      </c>
      <c r="Q969">
        <v>25</v>
      </c>
      <c r="R969">
        <v>120</v>
      </c>
      <c r="S969">
        <v>0.55010000000000003</v>
      </c>
    </row>
    <row r="970" spans="1:19" x14ac:dyDescent="0.25">
      <c r="A970">
        <v>1031</v>
      </c>
      <c r="B970">
        <v>10</v>
      </c>
      <c r="C970" t="s">
        <v>19</v>
      </c>
      <c r="D970">
        <v>4.95</v>
      </c>
      <c r="E970">
        <v>31.7</v>
      </c>
      <c r="F970">
        <v>169</v>
      </c>
      <c r="G970">
        <v>417.5</v>
      </c>
      <c r="H970" t="s">
        <v>20</v>
      </c>
      <c r="I970">
        <v>650</v>
      </c>
      <c r="J970">
        <v>730</v>
      </c>
      <c r="K970" t="s">
        <v>22</v>
      </c>
      <c r="L970">
        <v>45.77</v>
      </c>
      <c r="M970">
        <v>7.66</v>
      </c>
      <c r="N970" t="s">
        <v>32</v>
      </c>
      <c r="O970">
        <v>25</v>
      </c>
      <c r="P970">
        <v>183.31</v>
      </c>
      <c r="Q970">
        <v>25</v>
      </c>
      <c r="R970">
        <v>150</v>
      </c>
      <c r="S970">
        <v>0.56779999999999997</v>
      </c>
    </row>
    <row r="971" spans="1:19" x14ac:dyDescent="0.25">
      <c r="A971">
        <v>1031</v>
      </c>
      <c r="B971">
        <v>11</v>
      </c>
      <c r="C971" t="s">
        <v>19</v>
      </c>
      <c r="D971">
        <v>4.95</v>
      </c>
      <c r="E971">
        <v>31.7</v>
      </c>
      <c r="F971">
        <v>169</v>
      </c>
      <c r="G971">
        <v>417.5</v>
      </c>
      <c r="H971" t="s">
        <v>20</v>
      </c>
      <c r="I971">
        <v>650</v>
      </c>
      <c r="J971">
        <v>730</v>
      </c>
      <c r="K971" t="s">
        <v>22</v>
      </c>
      <c r="L971">
        <v>45.77</v>
      </c>
      <c r="M971">
        <v>7.66</v>
      </c>
      <c r="N971" t="s">
        <v>32</v>
      </c>
      <c r="O971">
        <v>25</v>
      </c>
      <c r="P971">
        <v>183.31</v>
      </c>
      <c r="Q971">
        <v>25</v>
      </c>
      <c r="R971">
        <v>60</v>
      </c>
      <c r="S971">
        <v>0.42530000000000001</v>
      </c>
    </row>
    <row r="972" spans="1:19" x14ac:dyDescent="0.25">
      <c r="A972">
        <v>1031</v>
      </c>
      <c r="B972">
        <v>11</v>
      </c>
      <c r="C972" t="s">
        <v>19</v>
      </c>
      <c r="D972">
        <v>4.95</v>
      </c>
      <c r="E972">
        <v>31.7</v>
      </c>
      <c r="F972">
        <v>169</v>
      </c>
      <c r="G972">
        <v>417.5</v>
      </c>
      <c r="H972" t="s">
        <v>20</v>
      </c>
      <c r="I972">
        <v>650</v>
      </c>
      <c r="J972">
        <v>730</v>
      </c>
      <c r="K972" t="s">
        <v>22</v>
      </c>
      <c r="L972">
        <v>45.77</v>
      </c>
      <c r="M972">
        <v>7.66</v>
      </c>
      <c r="N972" t="s">
        <v>32</v>
      </c>
      <c r="O972">
        <v>25</v>
      </c>
      <c r="P972">
        <v>183.31</v>
      </c>
      <c r="Q972">
        <v>25</v>
      </c>
      <c r="R972">
        <v>120</v>
      </c>
      <c r="S972">
        <v>0.45090000000000002</v>
      </c>
    </row>
    <row r="973" spans="1:19" x14ac:dyDescent="0.25">
      <c r="A973">
        <v>1031</v>
      </c>
      <c r="B973">
        <v>11</v>
      </c>
      <c r="C973" t="s">
        <v>19</v>
      </c>
      <c r="D973">
        <v>4.95</v>
      </c>
      <c r="E973">
        <v>31.7</v>
      </c>
      <c r="F973">
        <v>169</v>
      </c>
      <c r="G973">
        <v>417.5</v>
      </c>
      <c r="H973" t="s">
        <v>20</v>
      </c>
      <c r="I973">
        <v>650</v>
      </c>
      <c r="J973">
        <v>730</v>
      </c>
      <c r="K973" t="s">
        <v>22</v>
      </c>
      <c r="L973">
        <v>45.77</v>
      </c>
      <c r="M973">
        <v>7.66</v>
      </c>
      <c r="N973" t="s">
        <v>32</v>
      </c>
      <c r="O973">
        <v>25</v>
      </c>
      <c r="P973">
        <v>183.31</v>
      </c>
      <c r="Q973">
        <v>25</v>
      </c>
      <c r="R973">
        <v>150</v>
      </c>
      <c r="S973">
        <v>0.52659999999999996</v>
      </c>
    </row>
    <row r="974" spans="1:19" x14ac:dyDescent="0.25">
      <c r="A974">
        <v>1031</v>
      </c>
      <c r="B974">
        <v>12</v>
      </c>
      <c r="C974" t="s">
        <v>19</v>
      </c>
      <c r="D974">
        <v>4.95</v>
      </c>
      <c r="E974">
        <v>31.7</v>
      </c>
      <c r="F974">
        <v>169</v>
      </c>
      <c r="G974">
        <v>417.5</v>
      </c>
      <c r="H974" t="s">
        <v>20</v>
      </c>
      <c r="I974">
        <v>650</v>
      </c>
      <c r="J974">
        <v>730</v>
      </c>
      <c r="K974" t="s">
        <v>22</v>
      </c>
      <c r="L974">
        <v>45.77</v>
      </c>
      <c r="M974">
        <v>7.66</v>
      </c>
      <c r="N974" t="s">
        <v>32</v>
      </c>
      <c r="O974">
        <v>25</v>
      </c>
      <c r="P974">
        <v>183.31</v>
      </c>
      <c r="Q974">
        <v>25</v>
      </c>
      <c r="R974">
        <v>60</v>
      </c>
      <c r="S974">
        <v>0.29949999999999999</v>
      </c>
    </row>
    <row r="975" spans="1:19" x14ac:dyDescent="0.25">
      <c r="A975">
        <v>1031</v>
      </c>
      <c r="B975">
        <v>12</v>
      </c>
      <c r="C975" t="s">
        <v>19</v>
      </c>
      <c r="D975">
        <v>4.95</v>
      </c>
      <c r="E975">
        <v>31.7</v>
      </c>
      <c r="F975">
        <v>169</v>
      </c>
      <c r="G975">
        <v>417.5</v>
      </c>
      <c r="H975" t="s">
        <v>20</v>
      </c>
      <c r="I975">
        <v>650</v>
      </c>
      <c r="J975">
        <v>730</v>
      </c>
      <c r="K975" t="s">
        <v>22</v>
      </c>
      <c r="L975">
        <v>45.77</v>
      </c>
      <c r="M975">
        <v>7.66</v>
      </c>
      <c r="N975" t="s">
        <v>32</v>
      </c>
      <c r="O975">
        <v>25</v>
      </c>
      <c r="P975">
        <v>183.31</v>
      </c>
      <c r="Q975">
        <v>25</v>
      </c>
      <c r="R975">
        <v>120</v>
      </c>
      <c r="S975">
        <v>0.49859999999999999</v>
      </c>
    </row>
    <row r="976" spans="1:19" x14ac:dyDescent="0.25">
      <c r="A976">
        <v>1031</v>
      </c>
      <c r="B976">
        <v>12</v>
      </c>
      <c r="C976" t="s">
        <v>19</v>
      </c>
      <c r="D976">
        <v>4.95</v>
      </c>
      <c r="E976">
        <v>31.7</v>
      </c>
      <c r="F976">
        <v>169</v>
      </c>
      <c r="G976">
        <v>417.5</v>
      </c>
      <c r="H976" t="s">
        <v>20</v>
      </c>
      <c r="I976">
        <v>650</v>
      </c>
      <c r="J976">
        <v>730</v>
      </c>
      <c r="K976" t="s">
        <v>22</v>
      </c>
      <c r="L976">
        <v>45.77</v>
      </c>
      <c r="M976">
        <v>7.66</v>
      </c>
      <c r="N976" t="s">
        <v>32</v>
      </c>
      <c r="O976">
        <v>25</v>
      </c>
      <c r="P976">
        <v>183.31</v>
      </c>
      <c r="Q976">
        <v>25</v>
      </c>
      <c r="R976">
        <v>150</v>
      </c>
      <c r="S976">
        <v>0.67820000000000003</v>
      </c>
    </row>
    <row r="977" spans="1:19" x14ac:dyDescent="0.25">
      <c r="A977">
        <v>1032</v>
      </c>
      <c r="B977">
        <v>1</v>
      </c>
      <c r="C977" t="s">
        <v>28</v>
      </c>
      <c r="D977">
        <v>4.57</v>
      </c>
      <c r="E977">
        <v>1.1000000000000001</v>
      </c>
      <c r="F977">
        <v>340</v>
      </c>
      <c r="G977">
        <v>101</v>
      </c>
      <c r="H977" t="s">
        <v>20</v>
      </c>
      <c r="I977" t="s">
        <v>22</v>
      </c>
      <c r="J977" t="s">
        <v>22</v>
      </c>
      <c r="K977" t="s">
        <v>22</v>
      </c>
      <c r="L977">
        <v>27</v>
      </c>
      <c r="M977" t="s">
        <v>22</v>
      </c>
      <c r="N977" t="s">
        <v>29</v>
      </c>
      <c r="O977" t="s">
        <v>22</v>
      </c>
      <c r="P977">
        <v>0.29599999999999999</v>
      </c>
      <c r="Q977">
        <v>28</v>
      </c>
      <c r="R977">
        <v>30</v>
      </c>
      <c r="S977">
        <v>0.61619999999999997</v>
      </c>
    </row>
    <row r="978" spans="1:19" x14ac:dyDescent="0.25">
      <c r="A978">
        <v>1032</v>
      </c>
      <c r="B978">
        <v>1</v>
      </c>
      <c r="C978" t="s">
        <v>31</v>
      </c>
      <c r="D978">
        <v>5.22</v>
      </c>
      <c r="E978">
        <v>0.26</v>
      </c>
      <c r="F978">
        <v>375</v>
      </c>
      <c r="G978">
        <v>111</v>
      </c>
      <c r="H978" t="s">
        <v>20</v>
      </c>
      <c r="I978" t="s">
        <v>22</v>
      </c>
      <c r="J978" t="s">
        <v>22</v>
      </c>
      <c r="K978" t="s">
        <v>22</v>
      </c>
      <c r="L978">
        <v>27</v>
      </c>
      <c r="M978" t="s">
        <v>22</v>
      </c>
      <c r="N978" t="s">
        <v>32</v>
      </c>
      <c r="O978" t="s">
        <v>22</v>
      </c>
      <c r="P978">
        <v>8.3400000000000002E-2</v>
      </c>
      <c r="Q978">
        <v>28</v>
      </c>
      <c r="R978">
        <v>30</v>
      </c>
      <c r="S978">
        <v>0.25059999999999999</v>
      </c>
    </row>
    <row r="979" spans="1:19" x14ac:dyDescent="0.25">
      <c r="A979">
        <v>1032</v>
      </c>
      <c r="B979">
        <v>1</v>
      </c>
      <c r="C979" t="s">
        <v>35</v>
      </c>
      <c r="D979">
        <v>5.18</v>
      </c>
      <c r="E979">
        <v>0.13200000000000001</v>
      </c>
      <c r="F979">
        <v>393</v>
      </c>
      <c r="G979">
        <v>150</v>
      </c>
      <c r="H979" t="s">
        <v>20</v>
      </c>
      <c r="I979" t="s">
        <v>22</v>
      </c>
      <c r="J979" t="s">
        <v>22</v>
      </c>
      <c r="K979" t="s">
        <v>22</v>
      </c>
      <c r="L979">
        <v>27</v>
      </c>
      <c r="M979" t="s">
        <v>22</v>
      </c>
      <c r="N979" t="s">
        <v>32</v>
      </c>
      <c r="O979" t="s">
        <v>22</v>
      </c>
      <c r="P979">
        <v>4.58E-2</v>
      </c>
      <c r="Q979">
        <v>28</v>
      </c>
      <c r="R979">
        <v>30</v>
      </c>
      <c r="S979">
        <v>0.19650000000000001</v>
      </c>
    </row>
    <row r="980" spans="1:19" x14ac:dyDescent="0.25">
      <c r="A980">
        <v>1032</v>
      </c>
      <c r="B980">
        <v>2</v>
      </c>
      <c r="C980" t="s">
        <v>28</v>
      </c>
      <c r="D980">
        <v>4.57</v>
      </c>
      <c r="E980">
        <v>1.1000000000000001</v>
      </c>
      <c r="F980">
        <v>340</v>
      </c>
      <c r="G980">
        <v>101</v>
      </c>
      <c r="H980" t="s">
        <v>20</v>
      </c>
      <c r="I980" t="s">
        <v>22</v>
      </c>
      <c r="J980" t="s">
        <v>22</v>
      </c>
      <c r="K980" t="s">
        <v>22</v>
      </c>
      <c r="L980">
        <v>3</v>
      </c>
      <c r="M980" t="s">
        <v>22</v>
      </c>
      <c r="N980" t="s">
        <v>29</v>
      </c>
      <c r="O980" t="s">
        <v>22</v>
      </c>
      <c r="P980">
        <v>0.11600000000000001</v>
      </c>
      <c r="Q980">
        <v>28</v>
      </c>
      <c r="R980">
        <v>30</v>
      </c>
      <c r="S980">
        <v>0.77839999999999998</v>
      </c>
    </row>
    <row r="981" spans="1:19" x14ac:dyDescent="0.25">
      <c r="A981">
        <v>1032</v>
      </c>
      <c r="B981">
        <v>2</v>
      </c>
      <c r="C981" t="s">
        <v>31</v>
      </c>
      <c r="D981">
        <v>5.22</v>
      </c>
      <c r="E981">
        <v>0.26</v>
      </c>
      <c r="F981">
        <v>375</v>
      </c>
      <c r="G981">
        <v>111</v>
      </c>
      <c r="H981" t="s">
        <v>20</v>
      </c>
      <c r="I981" t="s">
        <v>22</v>
      </c>
      <c r="J981" t="s">
        <v>22</v>
      </c>
      <c r="K981" t="s">
        <v>22</v>
      </c>
      <c r="L981">
        <v>3</v>
      </c>
      <c r="M981" t="s">
        <v>22</v>
      </c>
      <c r="N981" t="s">
        <v>32</v>
      </c>
      <c r="O981" t="s">
        <v>22</v>
      </c>
      <c r="P981">
        <v>4.2900000000000001E-2</v>
      </c>
      <c r="Q981">
        <v>28</v>
      </c>
      <c r="R981">
        <v>30</v>
      </c>
      <c r="S981">
        <v>0.47549999999999998</v>
      </c>
    </row>
    <row r="982" spans="1:19" x14ac:dyDescent="0.25">
      <c r="A982">
        <v>1032</v>
      </c>
      <c r="B982">
        <v>2</v>
      </c>
      <c r="C982" t="s">
        <v>35</v>
      </c>
      <c r="D982">
        <v>5.18</v>
      </c>
      <c r="E982">
        <v>0.13200000000000001</v>
      </c>
      <c r="F982">
        <v>393</v>
      </c>
      <c r="G982">
        <v>150</v>
      </c>
      <c r="H982" t="s">
        <v>20</v>
      </c>
      <c r="I982" t="s">
        <v>22</v>
      </c>
      <c r="J982" t="s">
        <v>22</v>
      </c>
      <c r="K982" t="s">
        <v>22</v>
      </c>
      <c r="L982">
        <v>3</v>
      </c>
      <c r="M982" t="s">
        <v>22</v>
      </c>
      <c r="N982" t="s">
        <v>32</v>
      </c>
      <c r="O982" t="s">
        <v>22</v>
      </c>
      <c r="P982">
        <v>2.2499999999999999E-2</v>
      </c>
      <c r="Q982">
        <v>28</v>
      </c>
      <c r="R982">
        <v>30</v>
      </c>
      <c r="S982">
        <v>0.3644</v>
      </c>
    </row>
    <row r="983" spans="1:19" x14ac:dyDescent="0.25">
      <c r="A983">
        <v>1032</v>
      </c>
      <c r="B983">
        <v>3</v>
      </c>
      <c r="C983" t="s">
        <v>28</v>
      </c>
      <c r="D983">
        <v>4.57</v>
      </c>
      <c r="E983">
        <v>1.1000000000000001</v>
      </c>
      <c r="F983">
        <v>340</v>
      </c>
      <c r="G983">
        <v>101</v>
      </c>
      <c r="H983" t="s">
        <v>20</v>
      </c>
      <c r="I983" t="s">
        <v>22</v>
      </c>
      <c r="J983" t="s">
        <v>22</v>
      </c>
      <c r="K983" t="s">
        <v>22</v>
      </c>
      <c r="L983">
        <v>6</v>
      </c>
      <c r="M983" t="s">
        <v>22</v>
      </c>
      <c r="N983" t="s">
        <v>29</v>
      </c>
      <c r="O983" t="s">
        <v>22</v>
      </c>
      <c r="P983">
        <v>0.24959999999999999</v>
      </c>
      <c r="Q983">
        <v>28</v>
      </c>
      <c r="R983">
        <v>30</v>
      </c>
      <c r="S983">
        <v>0.91749999999999998</v>
      </c>
    </row>
    <row r="984" spans="1:19" x14ac:dyDescent="0.25">
      <c r="A984">
        <v>1032</v>
      </c>
      <c r="B984">
        <v>3</v>
      </c>
      <c r="C984" t="s">
        <v>31</v>
      </c>
      <c r="D984">
        <v>5.22</v>
      </c>
      <c r="E984">
        <v>0.26</v>
      </c>
      <c r="F984">
        <v>375</v>
      </c>
      <c r="G984">
        <v>111</v>
      </c>
      <c r="H984" t="s">
        <v>20</v>
      </c>
      <c r="I984" t="s">
        <v>22</v>
      </c>
      <c r="J984" t="s">
        <v>22</v>
      </c>
      <c r="K984" t="s">
        <v>22</v>
      </c>
      <c r="L984">
        <v>6</v>
      </c>
      <c r="M984" t="s">
        <v>22</v>
      </c>
      <c r="N984" t="s">
        <v>32</v>
      </c>
      <c r="O984" t="s">
        <v>22</v>
      </c>
      <c r="P984">
        <v>0.1094</v>
      </c>
      <c r="Q984">
        <v>28</v>
      </c>
      <c r="R984">
        <v>30</v>
      </c>
      <c r="S984">
        <v>0.77600000000000002</v>
      </c>
    </row>
    <row r="985" spans="1:19" x14ac:dyDescent="0.25">
      <c r="A985">
        <v>1032</v>
      </c>
      <c r="B985">
        <v>3</v>
      </c>
      <c r="C985" t="s">
        <v>35</v>
      </c>
      <c r="D985">
        <v>5.18</v>
      </c>
      <c r="E985">
        <v>0.13200000000000001</v>
      </c>
      <c r="F985">
        <v>393</v>
      </c>
      <c r="G985">
        <v>150</v>
      </c>
      <c r="H985" t="s">
        <v>20</v>
      </c>
      <c r="I985" t="s">
        <v>22</v>
      </c>
      <c r="J985" t="s">
        <v>22</v>
      </c>
      <c r="K985" t="s">
        <v>22</v>
      </c>
      <c r="L985">
        <v>6</v>
      </c>
      <c r="M985" t="s">
        <v>22</v>
      </c>
      <c r="N985" t="s">
        <v>32</v>
      </c>
      <c r="O985" t="s">
        <v>22</v>
      </c>
      <c r="P985">
        <v>5.4600000000000003E-2</v>
      </c>
      <c r="Q985">
        <v>28</v>
      </c>
      <c r="R985">
        <v>30</v>
      </c>
      <c r="S985">
        <v>0.72889999999999999</v>
      </c>
    </row>
    <row r="986" spans="1:19" x14ac:dyDescent="0.25">
      <c r="A986">
        <v>1032</v>
      </c>
      <c r="B986">
        <v>4</v>
      </c>
      <c r="C986" t="s">
        <v>28</v>
      </c>
      <c r="D986">
        <v>4.57</v>
      </c>
      <c r="E986">
        <v>1.1000000000000001</v>
      </c>
      <c r="F986">
        <v>340</v>
      </c>
      <c r="G986">
        <v>101</v>
      </c>
      <c r="H986" t="s">
        <v>20</v>
      </c>
      <c r="I986" t="s">
        <v>22</v>
      </c>
      <c r="J986" t="s">
        <v>22</v>
      </c>
      <c r="K986" t="s">
        <v>22</v>
      </c>
      <c r="L986">
        <v>9</v>
      </c>
      <c r="M986" t="s">
        <v>22</v>
      </c>
      <c r="N986" t="s">
        <v>29</v>
      </c>
      <c r="O986" t="s">
        <v>22</v>
      </c>
      <c r="P986">
        <v>0.623</v>
      </c>
      <c r="Q986">
        <v>28</v>
      </c>
      <c r="R986">
        <v>30</v>
      </c>
      <c r="S986">
        <v>0.60509999999999997</v>
      </c>
    </row>
    <row r="987" spans="1:19" x14ac:dyDescent="0.25">
      <c r="A987">
        <v>1032</v>
      </c>
      <c r="B987">
        <v>4</v>
      </c>
      <c r="C987" t="s">
        <v>31</v>
      </c>
      <c r="D987">
        <v>5.22</v>
      </c>
      <c r="E987">
        <v>0.26</v>
      </c>
      <c r="F987">
        <v>375</v>
      </c>
      <c r="G987">
        <v>111</v>
      </c>
      <c r="H987" t="s">
        <v>20</v>
      </c>
      <c r="I987" t="s">
        <v>22</v>
      </c>
      <c r="J987" t="s">
        <v>22</v>
      </c>
      <c r="K987" t="s">
        <v>22</v>
      </c>
      <c r="L987">
        <v>9</v>
      </c>
      <c r="M987" t="s">
        <v>22</v>
      </c>
      <c r="N987" t="s">
        <v>32</v>
      </c>
      <c r="O987" t="s">
        <v>22</v>
      </c>
      <c r="P987">
        <v>0.14849999999999999</v>
      </c>
      <c r="Q987">
        <v>28</v>
      </c>
      <c r="R987">
        <v>30</v>
      </c>
      <c r="S987">
        <v>0.2034</v>
      </c>
    </row>
    <row r="988" spans="1:19" x14ac:dyDescent="0.25">
      <c r="A988">
        <v>1032</v>
      </c>
      <c r="B988">
        <v>4</v>
      </c>
      <c r="C988" t="s">
        <v>35</v>
      </c>
      <c r="D988">
        <v>5.18</v>
      </c>
      <c r="E988">
        <v>0.13200000000000001</v>
      </c>
      <c r="F988">
        <v>393</v>
      </c>
      <c r="G988">
        <v>150</v>
      </c>
      <c r="H988" t="s">
        <v>20</v>
      </c>
      <c r="I988" t="s">
        <v>22</v>
      </c>
      <c r="J988" t="s">
        <v>22</v>
      </c>
      <c r="K988" t="s">
        <v>22</v>
      </c>
      <c r="L988">
        <v>9</v>
      </c>
      <c r="M988" t="s">
        <v>22</v>
      </c>
      <c r="N988" t="s">
        <v>32</v>
      </c>
      <c r="O988" t="s">
        <v>22</v>
      </c>
      <c r="P988">
        <v>0.10929999999999999</v>
      </c>
      <c r="Q988">
        <v>28</v>
      </c>
      <c r="R988">
        <v>30</v>
      </c>
      <c r="S988">
        <v>0.26440000000000002</v>
      </c>
    </row>
    <row r="989" spans="1:19" x14ac:dyDescent="0.25">
      <c r="A989">
        <v>1032</v>
      </c>
      <c r="B989">
        <v>5</v>
      </c>
      <c r="C989" t="s">
        <v>28</v>
      </c>
      <c r="D989">
        <v>4.57</v>
      </c>
      <c r="E989">
        <v>1.1000000000000001</v>
      </c>
      <c r="F989">
        <v>340</v>
      </c>
      <c r="G989">
        <v>101</v>
      </c>
      <c r="H989" t="s">
        <v>20</v>
      </c>
      <c r="I989" t="s">
        <v>22</v>
      </c>
      <c r="J989" t="s">
        <v>22</v>
      </c>
      <c r="K989" t="s">
        <v>22</v>
      </c>
      <c r="L989">
        <v>25</v>
      </c>
      <c r="M989" t="s">
        <v>22</v>
      </c>
      <c r="N989" t="s">
        <v>29</v>
      </c>
      <c r="O989" t="s">
        <v>22</v>
      </c>
      <c r="P989">
        <v>0.58799999999999997</v>
      </c>
      <c r="Q989">
        <v>28</v>
      </c>
      <c r="R989">
        <v>30</v>
      </c>
      <c r="S989">
        <v>0.47310000000000002</v>
      </c>
    </row>
    <row r="990" spans="1:19" x14ac:dyDescent="0.25">
      <c r="A990">
        <v>1032</v>
      </c>
      <c r="B990">
        <v>5</v>
      </c>
      <c r="C990" t="s">
        <v>31</v>
      </c>
      <c r="D990">
        <v>5.22</v>
      </c>
      <c r="E990">
        <v>0.26</v>
      </c>
      <c r="F990">
        <v>375</v>
      </c>
      <c r="G990">
        <v>111</v>
      </c>
      <c r="H990" t="s">
        <v>20</v>
      </c>
      <c r="I990" t="s">
        <v>22</v>
      </c>
      <c r="J990" t="s">
        <v>22</v>
      </c>
      <c r="K990" t="s">
        <v>22</v>
      </c>
      <c r="L990">
        <v>25</v>
      </c>
      <c r="M990" t="s">
        <v>22</v>
      </c>
      <c r="N990" t="s">
        <v>32</v>
      </c>
      <c r="O990" t="s">
        <v>22</v>
      </c>
      <c r="P990">
        <v>0.16339999999999999</v>
      </c>
      <c r="Q990">
        <v>28</v>
      </c>
      <c r="R990">
        <v>30</v>
      </c>
      <c r="S990">
        <v>0.24479999999999999</v>
      </c>
    </row>
    <row r="991" spans="1:19" x14ac:dyDescent="0.25">
      <c r="A991">
        <v>1032</v>
      </c>
      <c r="B991">
        <v>5</v>
      </c>
      <c r="C991" t="s">
        <v>35</v>
      </c>
      <c r="D991">
        <v>5.18</v>
      </c>
      <c r="E991">
        <v>0.13200000000000001</v>
      </c>
      <c r="F991">
        <v>393</v>
      </c>
      <c r="G991">
        <v>150</v>
      </c>
      <c r="H991" t="s">
        <v>20</v>
      </c>
      <c r="I991" t="s">
        <v>22</v>
      </c>
      <c r="J991" t="s">
        <v>22</v>
      </c>
      <c r="K991" t="s">
        <v>22</v>
      </c>
      <c r="L991">
        <v>25</v>
      </c>
      <c r="M991" t="s">
        <v>22</v>
      </c>
      <c r="N991" t="s">
        <v>32</v>
      </c>
      <c r="O991" t="s">
        <v>22</v>
      </c>
      <c r="P991">
        <v>7.5300000000000006E-2</v>
      </c>
      <c r="Q991">
        <v>28</v>
      </c>
      <c r="R991">
        <v>30</v>
      </c>
      <c r="S991">
        <v>0.32669999999999999</v>
      </c>
    </row>
    <row r="992" spans="1:19" x14ac:dyDescent="0.25">
      <c r="A992">
        <v>1032</v>
      </c>
      <c r="B992">
        <v>6</v>
      </c>
      <c r="C992" t="s">
        <v>28</v>
      </c>
      <c r="D992">
        <v>4.57</v>
      </c>
      <c r="E992">
        <v>1.1000000000000001</v>
      </c>
      <c r="F992">
        <v>340</v>
      </c>
      <c r="G992">
        <v>101</v>
      </c>
      <c r="H992" t="s">
        <v>20</v>
      </c>
      <c r="I992" t="s">
        <v>22</v>
      </c>
      <c r="J992" t="s">
        <v>22</v>
      </c>
      <c r="K992" t="s">
        <v>22</v>
      </c>
      <c r="L992">
        <v>12</v>
      </c>
      <c r="M992" t="s">
        <v>22</v>
      </c>
      <c r="N992" t="s">
        <v>29</v>
      </c>
      <c r="O992" t="s">
        <v>22</v>
      </c>
      <c r="P992">
        <v>0.34799999999999998</v>
      </c>
      <c r="Q992">
        <v>28</v>
      </c>
      <c r="R992">
        <v>30</v>
      </c>
      <c r="S992">
        <v>0.754</v>
      </c>
    </row>
    <row r="993" spans="1:19" x14ac:dyDescent="0.25">
      <c r="A993">
        <v>1032</v>
      </c>
      <c r="B993">
        <v>6</v>
      </c>
      <c r="C993" t="s">
        <v>31</v>
      </c>
      <c r="D993">
        <v>5.22</v>
      </c>
      <c r="E993">
        <v>0.26</v>
      </c>
      <c r="F993">
        <v>375</v>
      </c>
      <c r="G993">
        <v>111</v>
      </c>
      <c r="H993" t="s">
        <v>20</v>
      </c>
      <c r="I993" t="s">
        <v>22</v>
      </c>
      <c r="J993" t="s">
        <v>22</v>
      </c>
      <c r="K993" t="s">
        <v>22</v>
      </c>
      <c r="L993">
        <v>12</v>
      </c>
      <c r="M993" t="s">
        <v>22</v>
      </c>
      <c r="N993" t="s">
        <v>32</v>
      </c>
      <c r="O993" t="s">
        <v>22</v>
      </c>
      <c r="P993">
        <v>8.6699999999999999E-2</v>
      </c>
      <c r="Q993">
        <v>28</v>
      </c>
      <c r="R993">
        <v>30</v>
      </c>
      <c r="S993">
        <v>0.248</v>
      </c>
    </row>
    <row r="994" spans="1:19" x14ac:dyDescent="0.25">
      <c r="A994">
        <v>1032</v>
      </c>
      <c r="B994">
        <v>6</v>
      </c>
      <c r="C994" t="s">
        <v>35</v>
      </c>
      <c r="D994">
        <v>5.18</v>
      </c>
      <c r="E994">
        <v>0.13200000000000001</v>
      </c>
      <c r="F994">
        <v>393</v>
      </c>
      <c r="G994">
        <v>150</v>
      </c>
      <c r="H994" t="s">
        <v>20</v>
      </c>
      <c r="I994" t="s">
        <v>22</v>
      </c>
      <c r="J994" t="s">
        <v>22</v>
      </c>
      <c r="K994" t="s">
        <v>22</v>
      </c>
      <c r="L994">
        <v>12</v>
      </c>
      <c r="M994" t="s">
        <v>22</v>
      </c>
      <c r="N994" t="s">
        <v>32</v>
      </c>
      <c r="O994" t="s">
        <v>22</v>
      </c>
      <c r="P994">
        <v>4.2900000000000001E-2</v>
      </c>
      <c r="Q994">
        <v>28</v>
      </c>
      <c r="R994">
        <v>30</v>
      </c>
      <c r="S994">
        <v>0.1888</v>
      </c>
    </row>
    <row r="995" spans="1:19" x14ac:dyDescent="0.25">
      <c r="A995">
        <v>1032</v>
      </c>
      <c r="B995">
        <v>7</v>
      </c>
      <c r="C995" t="s">
        <v>28</v>
      </c>
      <c r="D995">
        <v>4.57</v>
      </c>
      <c r="E995">
        <v>1.1000000000000001</v>
      </c>
      <c r="F995">
        <v>340</v>
      </c>
      <c r="G995">
        <v>101</v>
      </c>
      <c r="H995" t="s">
        <v>20</v>
      </c>
      <c r="I995" t="s">
        <v>22</v>
      </c>
      <c r="J995" t="s">
        <v>22</v>
      </c>
      <c r="K995" t="s">
        <v>22</v>
      </c>
      <c r="L995">
        <v>14</v>
      </c>
      <c r="M995" t="s">
        <v>22</v>
      </c>
      <c r="N995" t="s">
        <v>29</v>
      </c>
      <c r="O995" t="s">
        <v>22</v>
      </c>
      <c r="P995">
        <v>0.14699999999999999</v>
      </c>
      <c r="Q995">
        <v>28</v>
      </c>
      <c r="R995">
        <v>30</v>
      </c>
      <c r="S995">
        <v>0.8619</v>
      </c>
    </row>
    <row r="996" spans="1:19" x14ac:dyDescent="0.25">
      <c r="A996">
        <v>1032</v>
      </c>
      <c r="B996">
        <v>7</v>
      </c>
      <c r="C996" t="s">
        <v>31</v>
      </c>
      <c r="D996">
        <v>5.22</v>
      </c>
      <c r="E996">
        <v>0.26</v>
      </c>
      <c r="F996">
        <v>375</v>
      </c>
      <c r="G996">
        <v>111</v>
      </c>
      <c r="H996" t="s">
        <v>20</v>
      </c>
      <c r="I996" t="s">
        <v>22</v>
      </c>
      <c r="J996" t="s">
        <v>22</v>
      </c>
      <c r="K996" t="s">
        <v>22</v>
      </c>
      <c r="L996">
        <v>14</v>
      </c>
      <c r="M996" t="s">
        <v>22</v>
      </c>
      <c r="N996" t="s">
        <v>32</v>
      </c>
      <c r="O996" t="s">
        <v>22</v>
      </c>
      <c r="P996">
        <v>6.5199999999999994E-2</v>
      </c>
      <c r="Q996">
        <v>28</v>
      </c>
      <c r="R996">
        <v>30</v>
      </c>
      <c r="S996">
        <v>0.60740000000000005</v>
      </c>
    </row>
    <row r="997" spans="1:19" x14ac:dyDescent="0.25">
      <c r="A997">
        <v>1032</v>
      </c>
      <c r="B997">
        <v>7</v>
      </c>
      <c r="C997" t="s">
        <v>35</v>
      </c>
      <c r="D997">
        <v>5.18</v>
      </c>
      <c r="E997">
        <v>0.13200000000000001</v>
      </c>
      <c r="F997">
        <v>393</v>
      </c>
      <c r="G997">
        <v>150</v>
      </c>
      <c r="H997" t="s">
        <v>20</v>
      </c>
      <c r="I997" t="s">
        <v>22</v>
      </c>
      <c r="J997" t="s">
        <v>22</v>
      </c>
      <c r="K997" t="s">
        <v>22</v>
      </c>
      <c r="L997">
        <v>14</v>
      </c>
      <c r="M997" t="s">
        <v>22</v>
      </c>
      <c r="N997" t="s">
        <v>32</v>
      </c>
      <c r="O997" t="s">
        <v>22</v>
      </c>
      <c r="P997">
        <v>3.6700000000000003E-2</v>
      </c>
      <c r="Q997">
        <v>28</v>
      </c>
      <c r="R997">
        <v>30</v>
      </c>
      <c r="S997">
        <v>0.70840000000000003</v>
      </c>
    </row>
    <row r="998" spans="1:19" x14ac:dyDescent="0.25">
      <c r="A998">
        <v>1032</v>
      </c>
      <c r="B998">
        <v>8</v>
      </c>
      <c r="C998" t="s">
        <v>28</v>
      </c>
      <c r="D998">
        <v>4.57</v>
      </c>
      <c r="E998">
        <v>1.1000000000000001</v>
      </c>
      <c r="F998">
        <v>340</v>
      </c>
      <c r="G998">
        <v>101</v>
      </c>
      <c r="H998" t="s">
        <v>20</v>
      </c>
      <c r="I998" t="s">
        <v>22</v>
      </c>
      <c r="J998" t="s">
        <v>22</v>
      </c>
      <c r="K998" t="s">
        <v>22</v>
      </c>
      <c r="L998">
        <v>10</v>
      </c>
      <c r="M998" t="s">
        <v>22</v>
      </c>
      <c r="N998" t="s">
        <v>29</v>
      </c>
      <c r="O998" t="s">
        <v>22</v>
      </c>
      <c r="P998">
        <v>0.16769999999999999</v>
      </c>
      <c r="Q998">
        <v>28</v>
      </c>
      <c r="R998">
        <v>30</v>
      </c>
      <c r="S998">
        <v>0.79310000000000003</v>
      </c>
    </row>
    <row r="999" spans="1:19" x14ac:dyDescent="0.25">
      <c r="A999">
        <v>1032</v>
      </c>
      <c r="B999">
        <v>8</v>
      </c>
      <c r="C999" t="s">
        <v>31</v>
      </c>
      <c r="D999">
        <v>5.22</v>
      </c>
      <c r="E999">
        <v>0.26</v>
      </c>
      <c r="F999">
        <v>375</v>
      </c>
      <c r="G999">
        <v>111</v>
      </c>
      <c r="H999" t="s">
        <v>20</v>
      </c>
      <c r="I999" t="s">
        <v>22</v>
      </c>
      <c r="J999" t="s">
        <v>22</v>
      </c>
      <c r="K999" t="s">
        <v>22</v>
      </c>
      <c r="L999">
        <v>10</v>
      </c>
      <c r="M999" t="s">
        <v>22</v>
      </c>
      <c r="N999" t="s">
        <v>32</v>
      </c>
      <c r="O999" t="s">
        <v>22</v>
      </c>
      <c r="P999">
        <v>6.4799999999999996E-2</v>
      </c>
      <c r="Q999">
        <v>28</v>
      </c>
      <c r="R999">
        <v>30</v>
      </c>
      <c r="S999">
        <v>0.52310000000000001</v>
      </c>
    </row>
    <row r="1000" spans="1:19" x14ac:dyDescent="0.25">
      <c r="A1000">
        <v>1032</v>
      </c>
      <c r="B1000">
        <v>8</v>
      </c>
      <c r="C1000" t="s">
        <v>35</v>
      </c>
      <c r="D1000">
        <v>5.18</v>
      </c>
      <c r="E1000">
        <v>0.13200000000000001</v>
      </c>
      <c r="F1000">
        <v>393</v>
      </c>
      <c r="G1000">
        <v>150</v>
      </c>
      <c r="H1000" t="s">
        <v>20</v>
      </c>
      <c r="I1000" t="s">
        <v>22</v>
      </c>
      <c r="J1000" t="s">
        <v>22</v>
      </c>
      <c r="K1000" t="s">
        <v>22</v>
      </c>
      <c r="L1000">
        <v>10</v>
      </c>
      <c r="M1000" t="s">
        <v>22</v>
      </c>
      <c r="N1000" t="s">
        <v>32</v>
      </c>
      <c r="O1000" t="s">
        <v>22</v>
      </c>
      <c r="P1000">
        <v>1.976E-2</v>
      </c>
      <c r="Q1000">
        <v>28</v>
      </c>
      <c r="R1000">
        <v>30</v>
      </c>
      <c r="S1000">
        <v>1.8200000000000001E-2</v>
      </c>
    </row>
    <row r="1001" spans="1:19" x14ac:dyDescent="0.25">
      <c r="A1001">
        <v>1033</v>
      </c>
      <c r="B1001">
        <v>1</v>
      </c>
      <c r="C1001">
        <v>4</v>
      </c>
      <c r="D1001">
        <v>4</v>
      </c>
      <c r="E1001">
        <v>1.93</v>
      </c>
      <c r="F1001">
        <v>300</v>
      </c>
      <c r="G1001">
        <v>92</v>
      </c>
      <c r="H1001" t="s">
        <v>24</v>
      </c>
      <c r="I1001" t="s">
        <v>22</v>
      </c>
      <c r="J1001" t="s">
        <v>22</v>
      </c>
      <c r="K1001" t="s">
        <v>22</v>
      </c>
      <c r="L1001" t="s">
        <v>22</v>
      </c>
      <c r="M1001">
        <v>5.9</v>
      </c>
      <c r="N1001" t="s">
        <v>29</v>
      </c>
      <c r="O1001">
        <v>72</v>
      </c>
      <c r="P1001">
        <v>500</v>
      </c>
      <c r="Q1001">
        <v>21</v>
      </c>
      <c r="R1001">
        <v>35</v>
      </c>
      <c r="S1001">
        <v>0.82599999999999996</v>
      </c>
    </row>
    <row r="1002" spans="1:19" x14ac:dyDescent="0.25">
      <c r="A1002">
        <v>1033</v>
      </c>
      <c r="B1002">
        <v>1</v>
      </c>
      <c r="C1002" t="s">
        <v>30</v>
      </c>
      <c r="D1002">
        <v>4.88</v>
      </c>
      <c r="E1002">
        <v>7.2999999999999995E-2</v>
      </c>
      <c r="F1002">
        <v>340</v>
      </c>
      <c r="G1002">
        <v>216</v>
      </c>
      <c r="H1002" t="str">
        <f>H1001</f>
        <v>砂土</v>
      </c>
      <c r="I1002" t="s">
        <v>22</v>
      </c>
      <c r="J1002" t="s">
        <v>22</v>
      </c>
      <c r="K1002" t="s">
        <v>22</v>
      </c>
      <c r="L1002" t="s">
        <v>22</v>
      </c>
      <c r="M1002">
        <f>M1001</f>
        <v>5.9</v>
      </c>
      <c r="N1002" t="s">
        <v>29</v>
      </c>
      <c r="O1002">
        <v>72</v>
      </c>
      <c r="P1002">
        <f>P1001</f>
        <v>500</v>
      </c>
      <c r="Q1002">
        <v>21</v>
      </c>
      <c r="R1002">
        <v>35</v>
      </c>
      <c r="S1002">
        <v>0.90300000000000002</v>
      </c>
    </row>
    <row r="1003" spans="1:19" x14ac:dyDescent="0.25">
      <c r="A1003">
        <v>1033</v>
      </c>
      <c r="B1003">
        <v>1</v>
      </c>
      <c r="C1003" t="s">
        <v>36</v>
      </c>
      <c r="D1003">
        <v>5.91</v>
      </c>
      <c r="E1003">
        <v>1.0999999999999999E-2</v>
      </c>
      <c r="F1003">
        <v>375</v>
      </c>
      <c r="G1003">
        <v>150</v>
      </c>
      <c r="H1003" t="s">
        <v>24</v>
      </c>
      <c r="I1003" t="s">
        <v>22</v>
      </c>
      <c r="J1003" t="s">
        <v>22</v>
      </c>
      <c r="K1003" t="s">
        <v>22</v>
      </c>
      <c r="L1003" t="s">
        <v>22</v>
      </c>
      <c r="M1003">
        <f t="shared" ref="M1003:M1009" si="62">M1002</f>
        <v>5.9</v>
      </c>
      <c r="N1003" t="s">
        <v>32</v>
      </c>
      <c r="O1003">
        <v>72</v>
      </c>
      <c r="P1003">
        <f t="shared" ref="P1003:P1009" si="63">P1002</f>
        <v>500</v>
      </c>
      <c r="Q1003">
        <v>21</v>
      </c>
      <c r="R1003">
        <v>35</v>
      </c>
      <c r="S1003">
        <v>0.85199999999999998</v>
      </c>
    </row>
    <row r="1004" spans="1:19" x14ac:dyDescent="0.25">
      <c r="A1004">
        <v>1033</v>
      </c>
      <c r="B1004">
        <v>1</v>
      </c>
      <c r="C1004" t="s">
        <v>40</v>
      </c>
      <c r="D1004">
        <v>6.04</v>
      </c>
      <c r="E1004">
        <v>3.8E-3</v>
      </c>
      <c r="F1004">
        <v>495</v>
      </c>
      <c r="G1004">
        <v>179</v>
      </c>
      <c r="H1004" t="s">
        <v>24</v>
      </c>
      <c r="I1004" t="s">
        <v>22</v>
      </c>
      <c r="J1004" t="s">
        <v>22</v>
      </c>
      <c r="K1004" t="s">
        <v>22</v>
      </c>
      <c r="L1004" t="s">
        <v>22</v>
      </c>
      <c r="M1004">
        <f t="shared" si="62"/>
        <v>5.9</v>
      </c>
      <c r="N1004" t="s">
        <v>38</v>
      </c>
      <c r="O1004">
        <v>72</v>
      </c>
      <c r="P1004">
        <f t="shared" si="63"/>
        <v>500</v>
      </c>
      <c r="Q1004">
        <v>21</v>
      </c>
      <c r="R1004">
        <v>35</v>
      </c>
      <c r="S1004">
        <v>0.77500000000000002</v>
      </c>
    </row>
    <row r="1005" spans="1:19" x14ac:dyDescent="0.25">
      <c r="A1005">
        <v>1033</v>
      </c>
      <c r="B1005">
        <v>1</v>
      </c>
      <c r="C1005" t="s">
        <v>37</v>
      </c>
      <c r="D1005">
        <v>6.04</v>
      </c>
      <c r="E1005">
        <v>1.5E-3</v>
      </c>
      <c r="F1005">
        <v>480</v>
      </c>
      <c r="G1005">
        <v>169</v>
      </c>
      <c r="H1005" t="s">
        <v>24</v>
      </c>
      <c r="I1005" t="s">
        <v>22</v>
      </c>
      <c r="J1005" t="s">
        <v>22</v>
      </c>
      <c r="K1005" t="s">
        <v>22</v>
      </c>
      <c r="L1005" t="s">
        <v>22</v>
      </c>
      <c r="M1005">
        <f t="shared" si="62"/>
        <v>5.9</v>
      </c>
      <c r="N1005" t="s">
        <v>38</v>
      </c>
      <c r="O1005">
        <v>72</v>
      </c>
      <c r="P1005">
        <f t="shared" si="63"/>
        <v>500</v>
      </c>
      <c r="Q1005">
        <v>21</v>
      </c>
      <c r="R1005">
        <v>35</v>
      </c>
      <c r="S1005">
        <v>0.79</v>
      </c>
    </row>
    <row r="1006" spans="1:19" x14ac:dyDescent="0.25">
      <c r="A1006">
        <v>1033</v>
      </c>
      <c r="B1006">
        <v>1</v>
      </c>
      <c r="C1006" t="s">
        <v>39</v>
      </c>
      <c r="D1006">
        <v>6.34</v>
      </c>
      <c r="E1006">
        <v>8.0000000000000004E-4</v>
      </c>
      <c r="F1006">
        <v>400</v>
      </c>
      <c r="G1006">
        <v>163</v>
      </c>
      <c r="H1006" t="s">
        <v>24</v>
      </c>
      <c r="I1006" t="s">
        <v>22</v>
      </c>
      <c r="J1006" t="s">
        <v>22</v>
      </c>
      <c r="K1006" t="s">
        <v>22</v>
      </c>
      <c r="L1006" t="s">
        <v>22</v>
      </c>
      <c r="M1006">
        <f t="shared" si="62"/>
        <v>5.9</v>
      </c>
      <c r="N1006" t="s">
        <v>38</v>
      </c>
      <c r="O1006">
        <v>72</v>
      </c>
      <c r="P1006">
        <f t="shared" si="63"/>
        <v>500</v>
      </c>
      <c r="Q1006">
        <v>21</v>
      </c>
      <c r="R1006">
        <v>35</v>
      </c>
      <c r="S1006">
        <v>0.751</v>
      </c>
    </row>
    <row r="1007" spans="1:19" x14ac:dyDescent="0.25">
      <c r="A1007">
        <v>1033</v>
      </c>
      <c r="B1007">
        <v>1</v>
      </c>
      <c r="C1007" t="s">
        <v>42</v>
      </c>
      <c r="D1007">
        <v>6.5</v>
      </c>
      <c r="E1007">
        <v>2.5999999999999998E-4</v>
      </c>
      <c r="F1007">
        <v>400</v>
      </c>
      <c r="G1007">
        <v>273</v>
      </c>
      <c r="H1007" t="s">
        <v>24</v>
      </c>
      <c r="I1007" t="s">
        <v>22</v>
      </c>
      <c r="J1007" t="s">
        <v>22</v>
      </c>
      <c r="K1007" t="s">
        <v>22</v>
      </c>
      <c r="L1007" t="s">
        <v>22</v>
      </c>
      <c r="M1007">
        <f t="shared" si="62"/>
        <v>5.9</v>
      </c>
      <c r="N1007" t="s">
        <v>43</v>
      </c>
      <c r="O1007">
        <v>72</v>
      </c>
      <c r="P1007">
        <f t="shared" si="63"/>
        <v>500</v>
      </c>
      <c r="Q1007">
        <v>21</v>
      </c>
      <c r="R1007">
        <v>35</v>
      </c>
      <c r="S1007">
        <v>0.79800000000000004</v>
      </c>
    </row>
    <row r="1008" spans="1:19" x14ac:dyDescent="0.25">
      <c r="A1008">
        <v>1033</v>
      </c>
      <c r="B1008">
        <v>1</v>
      </c>
      <c r="C1008" t="s">
        <v>33</v>
      </c>
      <c r="D1008">
        <v>5.61</v>
      </c>
      <c r="E1008">
        <v>2E-3</v>
      </c>
      <c r="F1008">
        <v>350</v>
      </c>
      <c r="G1008">
        <v>255</v>
      </c>
      <c r="H1008" t="s">
        <v>24</v>
      </c>
      <c r="I1008" t="s">
        <v>22</v>
      </c>
      <c r="J1008" t="s">
        <v>22</v>
      </c>
      <c r="K1008" t="s">
        <v>22</v>
      </c>
      <c r="L1008" t="s">
        <v>22</v>
      </c>
      <c r="M1008">
        <f t="shared" si="62"/>
        <v>5.9</v>
      </c>
      <c r="N1008" t="s">
        <v>32</v>
      </c>
      <c r="O1008">
        <v>72</v>
      </c>
      <c r="P1008">
        <f t="shared" si="63"/>
        <v>500</v>
      </c>
      <c r="Q1008">
        <v>21</v>
      </c>
      <c r="R1008">
        <v>35</v>
      </c>
      <c r="S1008">
        <v>0.75900000000000001</v>
      </c>
    </row>
    <row r="1009" spans="1:19" x14ac:dyDescent="0.25">
      <c r="A1009">
        <v>1033</v>
      </c>
      <c r="B1009">
        <v>1</v>
      </c>
      <c r="C1009" t="s">
        <v>41</v>
      </c>
      <c r="D1009">
        <v>6.75</v>
      </c>
      <c r="E1009">
        <v>2.9999999999999997E-4</v>
      </c>
      <c r="F1009">
        <v>524</v>
      </c>
      <c r="G1009">
        <v>262</v>
      </c>
      <c r="H1009" t="s">
        <v>24</v>
      </c>
      <c r="I1009" t="s">
        <v>22</v>
      </c>
      <c r="J1009" t="s">
        <v>22</v>
      </c>
      <c r="K1009" t="s">
        <v>22</v>
      </c>
      <c r="L1009" t="s">
        <v>22</v>
      </c>
      <c r="M1009">
        <f t="shared" si="62"/>
        <v>5.9</v>
      </c>
      <c r="N1009" t="s">
        <v>43</v>
      </c>
      <c r="O1009">
        <v>72</v>
      </c>
      <c r="P1009">
        <f t="shared" si="63"/>
        <v>500</v>
      </c>
      <c r="Q1009">
        <v>21</v>
      </c>
      <c r="R1009">
        <v>35</v>
      </c>
      <c r="S1009">
        <v>0.80500000000000005</v>
      </c>
    </row>
    <row r="1010" spans="1:19" x14ac:dyDescent="0.25">
      <c r="A1010">
        <v>1033</v>
      </c>
      <c r="B1010">
        <v>1</v>
      </c>
      <c r="C1010" t="s">
        <v>34</v>
      </c>
      <c r="D1010">
        <v>4.18</v>
      </c>
      <c r="E1010">
        <v>1.68</v>
      </c>
      <c r="F1010">
        <v>295</v>
      </c>
      <c r="G1010">
        <v>116</v>
      </c>
      <c r="H1010" t="s">
        <v>24</v>
      </c>
      <c r="I1010" t="s">
        <v>22</v>
      </c>
      <c r="J1010" t="s">
        <v>22</v>
      </c>
      <c r="K1010" t="s">
        <v>22</v>
      </c>
      <c r="L1010" t="s">
        <v>22</v>
      </c>
      <c r="M1010">
        <f>#N/A</f>
        <v>5.9</v>
      </c>
      <c r="N1010" t="s">
        <v>29</v>
      </c>
      <c r="O1010">
        <v>72</v>
      </c>
      <c r="P1010">
        <f>#N/A</f>
        <v>500</v>
      </c>
      <c r="Q1010">
        <v>21</v>
      </c>
      <c r="R1010">
        <v>35</v>
      </c>
      <c r="S1010">
        <v>0.92600000000000005</v>
      </c>
    </row>
    <row r="1011" spans="1:19" x14ac:dyDescent="0.25">
      <c r="A1011">
        <v>1033</v>
      </c>
      <c r="B1011">
        <v>1</v>
      </c>
      <c r="C1011" t="s">
        <v>44</v>
      </c>
      <c r="D1011">
        <v>6.58</v>
      </c>
      <c r="E1011">
        <v>2.3000000000000001E-4</v>
      </c>
      <c r="F1011">
        <v>536</v>
      </c>
      <c r="G1011">
        <v>150</v>
      </c>
      <c r="H1011" t="s">
        <v>24</v>
      </c>
      <c r="I1011" t="s">
        <v>22</v>
      </c>
      <c r="J1011" t="s">
        <v>22</v>
      </c>
      <c r="K1011" t="s">
        <v>22</v>
      </c>
      <c r="L1011" t="s">
        <v>22</v>
      </c>
      <c r="M1011">
        <f>#N/A</f>
        <v>5.9</v>
      </c>
      <c r="N1011" t="s">
        <v>43</v>
      </c>
      <c r="O1011">
        <v>72</v>
      </c>
      <c r="P1011">
        <f>#N/A</f>
        <v>500</v>
      </c>
      <c r="Q1011">
        <v>21</v>
      </c>
      <c r="R1011">
        <v>35</v>
      </c>
      <c r="S1011">
        <v>0.7</v>
      </c>
    </row>
    <row r="1012" spans="1:19" x14ac:dyDescent="0.25">
      <c r="A1012">
        <v>1033</v>
      </c>
      <c r="B1012">
        <v>1</v>
      </c>
      <c r="C1012" t="s">
        <v>28</v>
      </c>
      <c r="D1012">
        <v>4.57</v>
      </c>
      <c r="E1012">
        <v>1.1000000000000001</v>
      </c>
      <c r="F1012">
        <v>340</v>
      </c>
      <c r="G1012">
        <v>101</v>
      </c>
      <c r="H1012" t="s">
        <v>24</v>
      </c>
      <c r="I1012" t="s">
        <v>22</v>
      </c>
      <c r="J1012" t="s">
        <v>22</v>
      </c>
      <c r="K1012" t="s">
        <v>22</v>
      </c>
      <c r="L1012" t="s">
        <v>22</v>
      </c>
      <c r="M1012">
        <f>#N/A</f>
        <v>5.9</v>
      </c>
      <c r="N1012" t="s">
        <v>29</v>
      </c>
      <c r="O1012">
        <v>72</v>
      </c>
      <c r="P1012">
        <f>#N/A</f>
        <v>500</v>
      </c>
      <c r="Q1012">
        <v>21</v>
      </c>
      <c r="R1012">
        <v>35</v>
      </c>
      <c r="S1012">
        <v>0.85299999999999998</v>
      </c>
    </row>
    <row r="1013" spans="1:19" x14ac:dyDescent="0.25">
      <c r="A1013">
        <v>1033</v>
      </c>
      <c r="B1013">
        <v>1</v>
      </c>
      <c r="C1013" t="s">
        <v>35</v>
      </c>
      <c r="D1013">
        <v>5.18</v>
      </c>
      <c r="E1013">
        <v>0.13200000000000001</v>
      </c>
      <c r="F1013">
        <v>393</v>
      </c>
      <c r="G1013">
        <v>150</v>
      </c>
      <c r="H1013" t="s">
        <v>24</v>
      </c>
      <c r="I1013" t="s">
        <v>22</v>
      </c>
      <c r="J1013" t="s">
        <v>22</v>
      </c>
      <c r="K1013" t="s">
        <v>22</v>
      </c>
      <c r="L1013" t="s">
        <v>22</v>
      </c>
      <c r="M1013">
        <f>#N/A</f>
        <v>5.9</v>
      </c>
      <c r="N1013" t="s">
        <v>32</v>
      </c>
      <c r="O1013">
        <v>72</v>
      </c>
      <c r="P1013">
        <f>#N/A</f>
        <v>500</v>
      </c>
      <c r="Q1013">
        <v>21</v>
      </c>
      <c r="R1013">
        <v>35</v>
      </c>
      <c r="S1013">
        <v>0.84199999999999997</v>
      </c>
    </row>
    <row r="1014" spans="1:19" x14ac:dyDescent="0.25">
      <c r="A1014">
        <v>1033</v>
      </c>
      <c r="B1014">
        <v>2</v>
      </c>
      <c r="C1014">
        <v>4</v>
      </c>
      <c r="D1014">
        <v>4</v>
      </c>
      <c r="E1014">
        <v>1.93</v>
      </c>
      <c r="F1014">
        <v>300</v>
      </c>
      <c r="G1014">
        <v>92</v>
      </c>
      <c r="H1014" t="s">
        <v>24</v>
      </c>
      <c r="I1014" t="s">
        <v>22</v>
      </c>
      <c r="J1014" t="s">
        <v>22</v>
      </c>
      <c r="K1014" t="s">
        <v>22</v>
      </c>
      <c r="L1014" t="s">
        <v>22</v>
      </c>
      <c r="M1014">
        <f>#N/A</f>
        <v>5.9</v>
      </c>
      <c r="N1014" t="s">
        <v>29</v>
      </c>
      <c r="O1014">
        <v>72</v>
      </c>
      <c r="P1014">
        <f>#N/A</f>
        <v>500</v>
      </c>
      <c r="Q1014">
        <v>21</v>
      </c>
      <c r="R1014">
        <v>35</v>
      </c>
      <c r="S1014">
        <v>0.91900000000000004</v>
      </c>
    </row>
    <row r="1015" spans="1:19" x14ac:dyDescent="0.25">
      <c r="A1015">
        <v>1033</v>
      </c>
      <c r="B1015">
        <v>2</v>
      </c>
      <c r="C1015" t="s">
        <v>30</v>
      </c>
      <c r="D1015">
        <v>4.88</v>
      </c>
      <c r="E1015">
        <v>7.2999999999999995E-2</v>
      </c>
      <c r="F1015">
        <v>340</v>
      </c>
      <c r="G1015">
        <v>216</v>
      </c>
      <c r="H1015" t="s">
        <v>24</v>
      </c>
      <c r="I1015" t="s">
        <v>22</v>
      </c>
      <c r="J1015" t="s">
        <v>22</v>
      </c>
      <c r="K1015" t="s">
        <v>22</v>
      </c>
      <c r="L1015" t="s">
        <v>22</v>
      </c>
      <c r="M1015">
        <f>#N/A</f>
        <v>5.9</v>
      </c>
      <c r="N1015" t="s">
        <v>29</v>
      </c>
      <c r="O1015">
        <v>72</v>
      </c>
      <c r="P1015">
        <f>#N/A</f>
        <v>500</v>
      </c>
      <c r="Q1015">
        <v>21</v>
      </c>
      <c r="R1015">
        <v>35</v>
      </c>
      <c r="S1015">
        <v>0.94499999999999995</v>
      </c>
    </row>
    <row r="1016" spans="1:19" x14ac:dyDescent="0.25">
      <c r="A1016">
        <v>1033</v>
      </c>
      <c r="B1016">
        <v>2</v>
      </c>
      <c r="C1016" t="s">
        <v>36</v>
      </c>
      <c r="D1016">
        <v>5.91</v>
      </c>
      <c r="E1016">
        <v>1.0999999999999999E-2</v>
      </c>
      <c r="F1016">
        <v>375</v>
      </c>
      <c r="G1016">
        <v>150</v>
      </c>
      <c r="H1016" t="s">
        <v>24</v>
      </c>
      <c r="I1016" t="s">
        <v>22</v>
      </c>
      <c r="J1016" t="s">
        <v>22</v>
      </c>
      <c r="K1016" t="s">
        <v>22</v>
      </c>
      <c r="L1016" t="s">
        <v>22</v>
      </c>
      <c r="M1016">
        <f>#N/A</f>
        <v>5.9</v>
      </c>
      <c r="N1016" t="s">
        <v>32</v>
      </c>
      <c r="O1016">
        <v>72</v>
      </c>
      <c r="P1016">
        <f>#N/A</f>
        <v>500</v>
      </c>
      <c r="Q1016">
        <v>21</v>
      </c>
      <c r="R1016">
        <v>35</v>
      </c>
      <c r="S1016">
        <v>0.90700000000000003</v>
      </c>
    </row>
    <row r="1017" spans="1:19" x14ac:dyDescent="0.25">
      <c r="A1017">
        <v>1033</v>
      </c>
      <c r="B1017">
        <v>2</v>
      </c>
      <c r="C1017" t="s">
        <v>40</v>
      </c>
      <c r="D1017">
        <v>6.04</v>
      </c>
      <c r="E1017">
        <v>3.8E-3</v>
      </c>
      <c r="F1017">
        <v>495</v>
      </c>
      <c r="G1017">
        <v>179</v>
      </c>
      <c r="H1017" t="s">
        <v>24</v>
      </c>
      <c r="I1017" t="s">
        <v>22</v>
      </c>
      <c r="J1017" t="s">
        <v>22</v>
      </c>
      <c r="K1017" t="s">
        <v>22</v>
      </c>
      <c r="L1017" t="s">
        <v>22</v>
      </c>
      <c r="M1017">
        <f>#N/A</f>
        <v>5.9</v>
      </c>
      <c r="N1017" t="s">
        <v>38</v>
      </c>
      <c r="O1017">
        <v>72</v>
      </c>
      <c r="P1017">
        <f>#N/A</f>
        <v>500</v>
      </c>
      <c r="Q1017">
        <v>21</v>
      </c>
      <c r="R1017">
        <v>35</v>
      </c>
      <c r="S1017">
        <v>0.873</v>
      </c>
    </row>
    <row r="1018" spans="1:19" x14ac:dyDescent="0.25">
      <c r="A1018">
        <v>1033</v>
      </c>
      <c r="B1018">
        <v>2</v>
      </c>
      <c r="C1018" t="s">
        <v>37</v>
      </c>
      <c r="D1018">
        <v>6.04</v>
      </c>
      <c r="E1018">
        <v>1.5E-3</v>
      </c>
      <c r="F1018">
        <v>480</v>
      </c>
      <c r="G1018">
        <v>169</v>
      </c>
      <c r="H1018" t="s">
        <v>24</v>
      </c>
      <c r="I1018" t="s">
        <v>22</v>
      </c>
      <c r="J1018" t="s">
        <v>22</v>
      </c>
      <c r="K1018" t="s">
        <v>22</v>
      </c>
      <c r="L1018" t="s">
        <v>22</v>
      </c>
      <c r="M1018">
        <f>#N/A</f>
        <v>5.9</v>
      </c>
      <c r="N1018" t="s">
        <v>38</v>
      </c>
      <c r="O1018">
        <v>72</v>
      </c>
      <c r="P1018">
        <f>#N/A</f>
        <v>500</v>
      </c>
      <c r="Q1018">
        <v>21</v>
      </c>
      <c r="R1018">
        <v>35</v>
      </c>
      <c r="S1018">
        <v>0.88400000000000001</v>
      </c>
    </row>
    <row r="1019" spans="1:19" x14ac:dyDescent="0.25">
      <c r="A1019">
        <v>1033</v>
      </c>
      <c r="B1019">
        <v>2</v>
      </c>
      <c r="C1019" t="s">
        <v>39</v>
      </c>
      <c r="D1019">
        <v>6.34</v>
      </c>
      <c r="E1019">
        <v>8.0000000000000004E-4</v>
      </c>
      <c r="F1019">
        <v>400</v>
      </c>
      <c r="G1019">
        <v>163</v>
      </c>
      <c r="H1019" t="s">
        <v>24</v>
      </c>
      <c r="I1019" t="s">
        <v>22</v>
      </c>
      <c r="J1019" t="s">
        <v>22</v>
      </c>
      <c r="K1019" t="s">
        <v>22</v>
      </c>
      <c r="L1019" t="s">
        <v>22</v>
      </c>
      <c r="M1019">
        <f>#N/A</f>
        <v>5.9</v>
      </c>
      <c r="N1019" t="s">
        <v>38</v>
      </c>
      <c r="O1019">
        <v>72</v>
      </c>
      <c r="P1019">
        <f>#N/A</f>
        <v>500</v>
      </c>
      <c r="Q1019">
        <v>21</v>
      </c>
      <c r="R1019">
        <v>35</v>
      </c>
      <c r="S1019">
        <v>0.86799999999999999</v>
      </c>
    </row>
    <row r="1020" spans="1:19" x14ac:dyDescent="0.25">
      <c r="A1020">
        <v>1033</v>
      </c>
      <c r="B1020">
        <v>2</v>
      </c>
      <c r="C1020" t="s">
        <v>42</v>
      </c>
      <c r="D1020">
        <v>6.5</v>
      </c>
      <c r="E1020">
        <v>2.5999999999999998E-4</v>
      </c>
      <c r="F1020">
        <v>400</v>
      </c>
      <c r="G1020">
        <v>273</v>
      </c>
      <c r="H1020" t="s">
        <v>24</v>
      </c>
      <c r="I1020" t="s">
        <v>22</v>
      </c>
      <c r="J1020" t="s">
        <v>22</v>
      </c>
      <c r="K1020" t="s">
        <v>22</v>
      </c>
      <c r="L1020" t="s">
        <v>22</v>
      </c>
      <c r="M1020">
        <f>#N/A</f>
        <v>5.9</v>
      </c>
      <c r="N1020" t="s">
        <v>43</v>
      </c>
      <c r="O1020">
        <v>72</v>
      </c>
      <c r="P1020">
        <f>#N/A</f>
        <v>500</v>
      </c>
      <c r="Q1020">
        <v>21</v>
      </c>
      <c r="R1020">
        <v>35</v>
      </c>
      <c r="S1020">
        <v>0.86299999999999999</v>
      </c>
    </row>
    <row r="1021" spans="1:19" x14ac:dyDescent="0.25">
      <c r="A1021">
        <v>1033</v>
      </c>
      <c r="B1021">
        <v>2</v>
      </c>
      <c r="C1021" t="s">
        <v>33</v>
      </c>
      <c r="D1021">
        <v>5.61</v>
      </c>
      <c r="E1021">
        <v>2E-3</v>
      </c>
      <c r="F1021">
        <v>350</v>
      </c>
      <c r="G1021">
        <v>255</v>
      </c>
      <c r="H1021" t="s">
        <v>24</v>
      </c>
      <c r="I1021" t="s">
        <v>22</v>
      </c>
      <c r="J1021" t="s">
        <v>22</v>
      </c>
      <c r="K1021" t="s">
        <v>22</v>
      </c>
      <c r="L1021" t="s">
        <v>22</v>
      </c>
      <c r="M1021">
        <f>#N/A</f>
        <v>5.9</v>
      </c>
      <c r="N1021" t="s">
        <v>32</v>
      </c>
      <c r="O1021">
        <v>72</v>
      </c>
      <c r="P1021">
        <f>#N/A</f>
        <v>500</v>
      </c>
      <c r="Q1021">
        <v>21</v>
      </c>
      <c r="R1021">
        <v>35</v>
      </c>
      <c r="S1021">
        <v>0.85499999999999998</v>
      </c>
    </row>
    <row r="1022" spans="1:19" x14ac:dyDescent="0.25">
      <c r="A1022">
        <v>1033</v>
      </c>
      <c r="B1022">
        <v>2</v>
      </c>
      <c r="C1022" t="s">
        <v>41</v>
      </c>
      <c r="D1022">
        <v>6.75</v>
      </c>
      <c r="E1022">
        <v>2.9999999999999997E-4</v>
      </c>
      <c r="F1022">
        <v>524</v>
      </c>
      <c r="G1022">
        <v>262</v>
      </c>
      <c r="H1022" t="s">
        <v>24</v>
      </c>
      <c r="I1022" t="s">
        <v>22</v>
      </c>
      <c r="J1022" t="s">
        <v>22</v>
      </c>
      <c r="K1022" t="s">
        <v>22</v>
      </c>
      <c r="L1022" t="s">
        <v>22</v>
      </c>
      <c r="M1022">
        <f>#N/A</f>
        <v>5.9</v>
      </c>
      <c r="N1022" t="s">
        <v>43</v>
      </c>
      <c r="O1022">
        <v>72</v>
      </c>
      <c r="P1022">
        <f>#N/A</f>
        <v>500</v>
      </c>
      <c r="Q1022">
        <v>21</v>
      </c>
      <c r="R1022">
        <v>35</v>
      </c>
      <c r="S1022">
        <v>0.879</v>
      </c>
    </row>
    <row r="1023" spans="1:19" x14ac:dyDescent="0.25">
      <c r="A1023">
        <v>1033</v>
      </c>
      <c r="B1023">
        <v>2</v>
      </c>
      <c r="C1023" t="s">
        <v>34</v>
      </c>
      <c r="D1023">
        <v>4.18</v>
      </c>
      <c r="E1023">
        <v>1.68</v>
      </c>
      <c r="F1023">
        <v>295</v>
      </c>
      <c r="G1023">
        <v>116</v>
      </c>
      <c r="H1023" t="s">
        <v>24</v>
      </c>
      <c r="I1023" t="s">
        <v>22</v>
      </c>
      <c r="J1023" t="s">
        <v>22</v>
      </c>
      <c r="K1023" t="s">
        <v>22</v>
      </c>
      <c r="L1023" t="s">
        <v>22</v>
      </c>
      <c r="M1023">
        <f>#N/A</f>
        <v>5.9</v>
      </c>
      <c r="N1023" t="s">
        <v>29</v>
      </c>
      <c r="O1023">
        <v>72</v>
      </c>
      <c r="P1023">
        <f>#N/A</f>
        <v>500</v>
      </c>
      <c r="Q1023">
        <v>21</v>
      </c>
      <c r="R1023">
        <v>35</v>
      </c>
      <c r="S1023">
        <v>0.94599999999999995</v>
      </c>
    </row>
    <row r="1024" spans="1:19" x14ac:dyDescent="0.25">
      <c r="A1024">
        <v>1033</v>
      </c>
      <c r="B1024">
        <v>2</v>
      </c>
      <c r="C1024" t="s">
        <v>44</v>
      </c>
      <c r="D1024">
        <v>6.58</v>
      </c>
      <c r="E1024">
        <v>2.3000000000000001E-4</v>
      </c>
      <c r="F1024">
        <v>536</v>
      </c>
      <c r="G1024">
        <v>150</v>
      </c>
      <c r="H1024" t="s">
        <v>24</v>
      </c>
      <c r="I1024" t="s">
        <v>22</v>
      </c>
      <c r="J1024" t="s">
        <v>22</v>
      </c>
      <c r="K1024" t="s">
        <v>22</v>
      </c>
      <c r="L1024" t="s">
        <v>22</v>
      </c>
      <c r="M1024">
        <f>#N/A</f>
        <v>5.9</v>
      </c>
      <c r="N1024" t="s">
        <v>43</v>
      </c>
      <c r="O1024">
        <v>72</v>
      </c>
      <c r="P1024">
        <f>#N/A</f>
        <v>500</v>
      </c>
      <c r="Q1024">
        <v>21</v>
      </c>
      <c r="R1024">
        <v>35</v>
      </c>
      <c r="S1024">
        <v>0.85099999999999998</v>
      </c>
    </row>
    <row r="1025" spans="1:19" x14ac:dyDescent="0.25">
      <c r="A1025">
        <v>1033</v>
      </c>
      <c r="B1025">
        <v>2</v>
      </c>
      <c r="C1025" t="s">
        <v>28</v>
      </c>
      <c r="D1025">
        <v>4.57</v>
      </c>
      <c r="E1025">
        <v>1.1000000000000001</v>
      </c>
      <c r="F1025">
        <v>340</v>
      </c>
      <c r="G1025">
        <v>101</v>
      </c>
      <c r="H1025" t="s">
        <v>24</v>
      </c>
      <c r="I1025" t="s">
        <v>22</v>
      </c>
      <c r="J1025" t="s">
        <v>22</v>
      </c>
      <c r="K1025" t="s">
        <v>22</v>
      </c>
      <c r="L1025" t="s">
        <v>22</v>
      </c>
      <c r="M1025">
        <f>#N/A</f>
        <v>5.9</v>
      </c>
      <c r="N1025" t="s">
        <v>29</v>
      </c>
      <c r="O1025">
        <v>72</v>
      </c>
      <c r="P1025">
        <f>#N/A</f>
        <v>500</v>
      </c>
      <c r="Q1025">
        <v>21</v>
      </c>
      <c r="R1025">
        <v>35</v>
      </c>
      <c r="S1025">
        <v>0.90800000000000003</v>
      </c>
    </row>
    <row r="1026" spans="1:19" x14ac:dyDescent="0.25">
      <c r="A1026">
        <v>1033</v>
      </c>
      <c r="B1026">
        <v>2</v>
      </c>
      <c r="C1026" t="s">
        <v>35</v>
      </c>
      <c r="D1026">
        <v>5.18</v>
      </c>
      <c r="E1026">
        <v>0.13200000000000001</v>
      </c>
      <c r="F1026">
        <v>393</v>
      </c>
      <c r="G1026">
        <v>150</v>
      </c>
      <c r="H1026" t="s">
        <v>24</v>
      </c>
      <c r="I1026" t="s">
        <v>22</v>
      </c>
      <c r="J1026" t="s">
        <v>22</v>
      </c>
      <c r="K1026" t="s">
        <v>22</v>
      </c>
      <c r="L1026" t="s">
        <v>22</v>
      </c>
      <c r="M1026">
        <f>#N/A</f>
        <v>5.9</v>
      </c>
      <c r="N1026" t="s">
        <v>32</v>
      </c>
      <c r="O1026">
        <v>72</v>
      </c>
      <c r="P1026">
        <f>#N/A</f>
        <v>500</v>
      </c>
      <c r="Q1026">
        <v>21</v>
      </c>
      <c r="R1026">
        <v>35</v>
      </c>
      <c r="S1026">
        <v>0.91800000000000004</v>
      </c>
    </row>
    <row r="1027" spans="1:19" x14ac:dyDescent="0.25">
      <c r="A1027">
        <v>1033</v>
      </c>
      <c r="B1027">
        <v>3</v>
      </c>
      <c r="C1027">
        <v>4</v>
      </c>
      <c r="D1027">
        <v>4</v>
      </c>
      <c r="E1027">
        <v>1.93</v>
      </c>
      <c r="F1027">
        <v>300</v>
      </c>
      <c r="G1027">
        <v>92</v>
      </c>
      <c r="H1027" t="s">
        <v>24</v>
      </c>
      <c r="I1027" t="s">
        <v>22</v>
      </c>
      <c r="J1027" t="s">
        <v>22</v>
      </c>
      <c r="K1027" t="s">
        <v>22</v>
      </c>
      <c r="L1027" t="s">
        <v>22</v>
      </c>
      <c r="M1027">
        <f>#N/A</f>
        <v>5.9</v>
      </c>
      <c r="N1027" t="s">
        <v>29</v>
      </c>
      <c r="O1027">
        <v>72</v>
      </c>
      <c r="P1027">
        <f>#N/A</f>
        <v>500</v>
      </c>
      <c r="Q1027">
        <v>21</v>
      </c>
      <c r="R1027">
        <v>35</v>
      </c>
      <c r="S1027">
        <v>0.92700000000000005</v>
      </c>
    </row>
    <row r="1028" spans="1:19" x14ac:dyDescent="0.25">
      <c r="A1028">
        <v>1033</v>
      </c>
      <c r="B1028">
        <v>3</v>
      </c>
      <c r="C1028" t="s">
        <v>30</v>
      </c>
      <c r="D1028">
        <v>4.88</v>
      </c>
      <c r="E1028">
        <v>7.2999999999999995E-2</v>
      </c>
      <c r="F1028">
        <v>340</v>
      </c>
      <c r="G1028">
        <v>216</v>
      </c>
      <c r="H1028" t="s">
        <v>24</v>
      </c>
      <c r="I1028" t="s">
        <v>22</v>
      </c>
      <c r="J1028" t="s">
        <v>22</v>
      </c>
      <c r="K1028" t="s">
        <v>22</v>
      </c>
      <c r="L1028" t="s">
        <v>22</v>
      </c>
      <c r="M1028">
        <f>#N/A</f>
        <v>5.9</v>
      </c>
      <c r="N1028" t="s">
        <v>29</v>
      </c>
      <c r="O1028">
        <v>72</v>
      </c>
      <c r="P1028">
        <f>#N/A</f>
        <v>500</v>
      </c>
      <c r="Q1028">
        <v>21</v>
      </c>
      <c r="R1028">
        <v>35</v>
      </c>
      <c r="S1028">
        <v>0.93899999999999995</v>
      </c>
    </row>
    <row r="1029" spans="1:19" x14ac:dyDescent="0.25">
      <c r="A1029">
        <v>1033</v>
      </c>
      <c r="B1029">
        <v>3</v>
      </c>
      <c r="C1029" t="s">
        <v>36</v>
      </c>
      <c r="D1029">
        <v>5.91</v>
      </c>
      <c r="E1029">
        <v>1.0999999999999999E-2</v>
      </c>
      <c r="F1029">
        <v>375</v>
      </c>
      <c r="G1029">
        <v>150</v>
      </c>
      <c r="H1029" t="s">
        <v>24</v>
      </c>
      <c r="I1029" t="s">
        <v>22</v>
      </c>
      <c r="J1029" t="s">
        <v>22</v>
      </c>
      <c r="K1029" t="s">
        <v>22</v>
      </c>
      <c r="L1029" t="s">
        <v>22</v>
      </c>
      <c r="M1029">
        <f>#N/A</f>
        <v>5.9</v>
      </c>
      <c r="N1029" t="s">
        <v>32</v>
      </c>
      <c r="O1029">
        <v>72</v>
      </c>
      <c r="P1029">
        <f>#N/A</f>
        <v>500</v>
      </c>
      <c r="Q1029">
        <v>21</v>
      </c>
      <c r="R1029">
        <v>35</v>
      </c>
      <c r="S1029">
        <v>0.90400000000000003</v>
      </c>
    </row>
    <row r="1030" spans="1:19" x14ac:dyDescent="0.25">
      <c r="A1030">
        <v>1033</v>
      </c>
      <c r="B1030">
        <v>3</v>
      </c>
      <c r="C1030" t="s">
        <v>40</v>
      </c>
      <c r="D1030">
        <v>6.04</v>
      </c>
      <c r="E1030">
        <v>3.8E-3</v>
      </c>
      <c r="F1030">
        <v>495</v>
      </c>
      <c r="G1030">
        <v>179</v>
      </c>
      <c r="H1030" t="s">
        <v>24</v>
      </c>
      <c r="I1030" t="s">
        <v>22</v>
      </c>
      <c r="J1030" t="s">
        <v>22</v>
      </c>
      <c r="K1030" t="s">
        <v>22</v>
      </c>
      <c r="L1030" t="s">
        <v>22</v>
      </c>
      <c r="M1030">
        <f>#N/A</f>
        <v>5.9</v>
      </c>
      <c r="N1030" t="s">
        <v>38</v>
      </c>
      <c r="O1030">
        <v>72</v>
      </c>
      <c r="P1030">
        <f>#N/A</f>
        <v>500</v>
      </c>
      <c r="Q1030">
        <v>21</v>
      </c>
      <c r="R1030">
        <v>35</v>
      </c>
      <c r="S1030">
        <v>0.85099999999999998</v>
      </c>
    </row>
    <row r="1031" spans="1:19" x14ac:dyDescent="0.25">
      <c r="A1031">
        <v>1033</v>
      </c>
      <c r="B1031">
        <v>3</v>
      </c>
      <c r="C1031" t="s">
        <v>37</v>
      </c>
      <c r="D1031">
        <v>6.04</v>
      </c>
      <c r="E1031">
        <v>1.5E-3</v>
      </c>
      <c r="F1031">
        <v>480</v>
      </c>
      <c r="G1031">
        <v>169</v>
      </c>
      <c r="H1031" t="s">
        <v>24</v>
      </c>
      <c r="I1031" t="s">
        <v>22</v>
      </c>
      <c r="J1031" t="s">
        <v>22</v>
      </c>
      <c r="K1031" t="s">
        <v>22</v>
      </c>
      <c r="L1031" t="s">
        <v>22</v>
      </c>
      <c r="M1031">
        <f>#N/A</f>
        <v>5.9</v>
      </c>
      <c r="N1031" t="s">
        <v>38</v>
      </c>
      <c r="O1031">
        <v>72</v>
      </c>
      <c r="P1031">
        <f>#N/A</f>
        <v>500</v>
      </c>
      <c r="Q1031">
        <v>21</v>
      </c>
      <c r="R1031">
        <v>35</v>
      </c>
      <c r="S1031">
        <v>0.86399999999999999</v>
      </c>
    </row>
    <row r="1032" spans="1:19" x14ac:dyDescent="0.25">
      <c r="A1032">
        <v>1033</v>
      </c>
      <c r="B1032">
        <v>3</v>
      </c>
      <c r="C1032" t="s">
        <v>39</v>
      </c>
      <c r="D1032">
        <v>6.34</v>
      </c>
      <c r="E1032">
        <v>8.0000000000000004E-4</v>
      </c>
      <c r="F1032">
        <v>400</v>
      </c>
      <c r="G1032">
        <v>163</v>
      </c>
      <c r="H1032" t="s">
        <v>24</v>
      </c>
      <c r="I1032" t="s">
        <v>22</v>
      </c>
      <c r="J1032" t="s">
        <v>22</v>
      </c>
      <c r="K1032" t="s">
        <v>22</v>
      </c>
      <c r="L1032" t="s">
        <v>22</v>
      </c>
      <c r="M1032">
        <f>#N/A</f>
        <v>5.9</v>
      </c>
      <c r="N1032" t="s">
        <v>38</v>
      </c>
      <c r="O1032">
        <v>72</v>
      </c>
      <c r="P1032">
        <f>#N/A</f>
        <v>500</v>
      </c>
      <c r="Q1032">
        <v>21</v>
      </c>
      <c r="R1032">
        <v>35</v>
      </c>
      <c r="S1032">
        <v>0.85099999999999998</v>
      </c>
    </row>
    <row r="1033" spans="1:19" x14ac:dyDescent="0.25">
      <c r="A1033">
        <v>1033</v>
      </c>
      <c r="B1033">
        <v>3</v>
      </c>
      <c r="C1033" t="s">
        <v>42</v>
      </c>
      <c r="D1033">
        <v>6.5</v>
      </c>
      <c r="E1033">
        <v>2.5999999999999998E-4</v>
      </c>
      <c r="F1033">
        <v>400</v>
      </c>
      <c r="G1033">
        <v>273</v>
      </c>
      <c r="H1033" t="s">
        <v>24</v>
      </c>
      <c r="I1033" t="s">
        <v>22</v>
      </c>
      <c r="J1033" t="s">
        <v>22</v>
      </c>
      <c r="K1033" t="s">
        <v>22</v>
      </c>
      <c r="L1033" t="s">
        <v>22</v>
      </c>
      <c r="M1033">
        <f>#N/A</f>
        <v>5.9</v>
      </c>
      <c r="N1033" t="s">
        <v>43</v>
      </c>
      <c r="O1033">
        <v>72</v>
      </c>
      <c r="P1033">
        <f>#N/A</f>
        <v>500</v>
      </c>
      <c r="Q1033">
        <v>21</v>
      </c>
      <c r="R1033">
        <v>35</v>
      </c>
      <c r="S1033">
        <v>0.82699999999999996</v>
      </c>
    </row>
    <row r="1034" spans="1:19" x14ac:dyDescent="0.25">
      <c r="A1034">
        <v>1033</v>
      </c>
      <c r="B1034">
        <v>3</v>
      </c>
      <c r="C1034" t="s">
        <v>33</v>
      </c>
      <c r="D1034">
        <v>5.61</v>
      </c>
      <c r="E1034">
        <v>2E-3</v>
      </c>
      <c r="F1034">
        <v>350</v>
      </c>
      <c r="G1034">
        <v>255</v>
      </c>
      <c r="H1034" t="s">
        <v>24</v>
      </c>
      <c r="I1034" t="s">
        <v>22</v>
      </c>
      <c r="J1034" t="s">
        <v>22</v>
      </c>
      <c r="K1034" t="s">
        <v>22</v>
      </c>
      <c r="L1034" t="s">
        <v>22</v>
      </c>
      <c r="M1034">
        <f>#N/A</f>
        <v>5.9</v>
      </c>
      <c r="N1034" t="s">
        <v>32</v>
      </c>
      <c r="O1034">
        <v>72</v>
      </c>
      <c r="P1034">
        <f>#N/A</f>
        <v>500</v>
      </c>
      <c r="Q1034">
        <v>21</v>
      </c>
      <c r="R1034">
        <v>35</v>
      </c>
      <c r="S1034">
        <v>0.80800000000000005</v>
      </c>
    </row>
    <row r="1035" spans="1:19" x14ac:dyDescent="0.25">
      <c r="A1035">
        <v>1033</v>
      </c>
      <c r="B1035">
        <v>3</v>
      </c>
      <c r="C1035" t="s">
        <v>41</v>
      </c>
      <c r="D1035">
        <v>6.75</v>
      </c>
      <c r="E1035">
        <v>2.9999999999999997E-4</v>
      </c>
      <c r="F1035">
        <v>524</v>
      </c>
      <c r="G1035">
        <v>262</v>
      </c>
      <c r="H1035" t="s">
        <v>24</v>
      </c>
      <c r="I1035" t="s">
        <v>22</v>
      </c>
      <c r="J1035" t="s">
        <v>22</v>
      </c>
      <c r="K1035" t="s">
        <v>22</v>
      </c>
      <c r="L1035" t="s">
        <v>22</v>
      </c>
      <c r="M1035">
        <f>#N/A</f>
        <v>5.9</v>
      </c>
      <c r="N1035" t="s">
        <v>43</v>
      </c>
      <c r="O1035">
        <v>72</v>
      </c>
      <c r="P1035">
        <f>#N/A</f>
        <v>500</v>
      </c>
      <c r="Q1035">
        <v>21</v>
      </c>
      <c r="R1035">
        <v>35</v>
      </c>
      <c r="S1035">
        <v>0.85399999999999998</v>
      </c>
    </row>
    <row r="1036" spans="1:19" x14ac:dyDescent="0.25">
      <c r="A1036">
        <v>1033</v>
      </c>
      <c r="B1036">
        <v>3</v>
      </c>
      <c r="C1036" t="s">
        <v>34</v>
      </c>
      <c r="D1036">
        <v>4.18</v>
      </c>
      <c r="E1036">
        <v>1.68</v>
      </c>
      <c r="F1036">
        <v>295</v>
      </c>
      <c r="G1036">
        <v>116</v>
      </c>
      <c r="H1036" t="s">
        <v>24</v>
      </c>
      <c r="I1036" t="s">
        <v>22</v>
      </c>
      <c r="J1036" t="s">
        <v>22</v>
      </c>
      <c r="K1036" t="s">
        <v>22</v>
      </c>
      <c r="L1036" t="s">
        <v>22</v>
      </c>
      <c r="M1036">
        <f>#N/A</f>
        <v>5.9</v>
      </c>
      <c r="N1036" t="s">
        <v>29</v>
      </c>
      <c r="O1036">
        <v>72</v>
      </c>
      <c r="P1036">
        <f>#N/A</f>
        <v>500</v>
      </c>
      <c r="Q1036">
        <v>21</v>
      </c>
      <c r="R1036">
        <v>35</v>
      </c>
      <c r="S1036">
        <v>0.93500000000000005</v>
      </c>
    </row>
    <row r="1037" spans="1:19" x14ac:dyDescent="0.25">
      <c r="A1037">
        <v>1033</v>
      </c>
      <c r="B1037">
        <v>3</v>
      </c>
      <c r="C1037" t="s">
        <v>44</v>
      </c>
      <c r="D1037">
        <v>6.58</v>
      </c>
      <c r="E1037">
        <v>2.3000000000000001E-4</v>
      </c>
      <c r="F1037">
        <v>536</v>
      </c>
      <c r="G1037">
        <v>150</v>
      </c>
      <c r="H1037" t="s">
        <v>24</v>
      </c>
      <c r="I1037" t="s">
        <v>22</v>
      </c>
      <c r="J1037" t="s">
        <v>22</v>
      </c>
      <c r="K1037" t="s">
        <v>22</v>
      </c>
      <c r="L1037" t="s">
        <v>22</v>
      </c>
      <c r="M1037">
        <f>#N/A</f>
        <v>5.9</v>
      </c>
      <c r="N1037" t="s">
        <v>43</v>
      </c>
      <c r="O1037">
        <v>72</v>
      </c>
      <c r="P1037">
        <f>#N/A</f>
        <v>500</v>
      </c>
      <c r="Q1037">
        <v>21</v>
      </c>
      <c r="R1037">
        <v>35</v>
      </c>
      <c r="S1037">
        <v>0.83699999999999997</v>
      </c>
    </row>
    <row r="1038" spans="1:19" x14ac:dyDescent="0.25">
      <c r="A1038">
        <v>1033</v>
      </c>
      <c r="B1038">
        <v>3</v>
      </c>
      <c r="C1038" t="s">
        <v>28</v>
      </c>
      <c r="D1038">
        <v>4.57</v>
      </c>
      <c r="E1038">
        <v>1.1000000000000001</v>
      </c>
      <c r="F1038">
        <v>340</v>
      </c>
      <c r="G1038">
        <v>101</v>
      </c>
      <c r="H1038" t="s">
        <v>24</v>
      </c>
      <c r="I1038" t="s">
        <v>22</v>
      </c>
      <c r="J1038" t="s">
        <v>22</v>
      </c>
      <c r="K1038" t="s">
        <v>22</v>
      </c>
      <c r="L1038" t="s">
        <v>22</v>
      </c>
      <c r="M1038">
        <f>#N/A</f>
        <v>5.9</v>
      </c>
      <c r="N1038" t="s">
        <v>29</v>
      </c>
      <c r="O1038">
        <v>72</v>
      </c>
      <c r="P1038">
        <f>#N/A</f>
        <v>500</v>
      </c>
      <c r="Q1038">
        <v>21</v>
      </c>
      <c r="R1038">
        <v>35</v>
      </c>
      <c r="S1038">
        <v>0.878</v>
      </c>
    </row>
    <row r="1039" spans="1:19" x14ac:dyDescent="0.25">
      <c r="A1039">
        <v>1033</v>
      </c>
      <c r="B1039">
        <v>3</v>
      </c>
      <c r="C1039" t="s">
        <v>35</v>
      </c>
      <c r="D1039">
        <v>5.18</v>
      </c>
      <c r="E1039">
        <v>0.13200000000000001</v>
      </c>
      <c r="F1039">
        <v>393</v>
      </c>
      <c r="G1039">
        <v>150</v>
      </c>
      <c r="H1039" t="s">
        <v>24</v>
      </c>
      <c r="I1039" t="s">
        <v>22</v>
      </c>
      <c r="J1039" t="s">
        <v>22</v>
      </c>
      <c r="K1039" t="s">
        <v>22</v>
      </c>
      <c r="L1039" t="s">
        <v>22</v>
      </c>
      <c r="M1039">
        <f>#N/A</f>
        <v>5.9</v>
      </c>
      <c r="N1039" t="s">
        <v>32</v>
      </c>
      <c r="O1039">
        <v>72</v>
      </c>
      <c r="P1039">
        <f>#N/A</f>
        <v>500</v>
      </c>
      <c r="Q1039">
        <v>21</v>
      </c>
      <c r="R1039">
        <v>35</v>
      </c>
      <c r="S1039">
        <v>0.90100000000000002</v>
      </c>
    </row>
    <row r="1040" spans="1:19" x14ac:dyDescent="0.25">
      <c r="A1040">
        <v>1033</v>
      </c>
      <c r="B1040">
        <v>4</v>
      </c>
      <c r="C1040">
        <v>4</v>
      </c>
      <c r="D1040">
        <v>4</v>
      </c>
      <c r="E1040">
        <v>1.93</v>
      </c>
      <c r="F1040">
        <v>300</v>
      </c>
      <c r="G1040">
        <v>92</v>
      </c>
      <c r="H1040" t="s">
        <v>24</v>
      </c>
      <c r="I1040" t="s">
        <v>22</v>
      </c>
      <c r="J1040" t="s">
        <v>22</v>
      </c>
      <c r="K1040" t="s">
        <v>22</v>
      </c>
      <c r="L1040" t="s">
        <v>22</v>
      </c>
      <c r="M1040">
        <f>#N/A</f>
        <v>5.9</v>
      </c>
      <c r="N1040" t="s">
        <v>29</v>
      </c>
      <c r="O1040">
        <v>72</v>
      </c>
      <c r="P1040">
        <f>#N/A</f>
        <v>500</v>
      </c>
      <c r="Q1040">
        <v>21</v>
      </c>
      <c r="R1040">
        <v>35</v>
      </c>
      <c r="S1040">
        <v>0.91800000000000004</v>
      </c>
    </row>
    <row r="1041" spans="1:19" x14ac:dyDescent="0.25">
      <c r="A1041">
        <v>1033</v>
      </c>
      <c r="B1041">
        <v>4</v>
      </c>
      <c r="C1041" t="s">
        <v>30</v>
      </c>
      <c r="D1041">
        <v>4.88</v>
      </c>
      <c r="E1041">
        <v>7.2999999999999995E-2</v>
      </c>
      <c r="F1041">
        <v>340</v>
      </c>
      <c r="G1041">
        <v>216</v>
      </c>
      <c r="H1041" t="s">
        <v>24</v>
      </c>
      <c r="I1041" t="s">
        <v>22</v>
      </c>
      <c r="J1041" t="s">
        <v>22</v>
      </c>
      <c r="K1041" t="s">
        <v>22</v>
      </c>
      <c r="L1041" t="s">
        <v>22</v>
      </c>
      <c r="M1041">
        <f>#N/A</f>
        <v>5.9</v>
      </c>
      <c r="N1041" t="s">
        <v>29</v>
      </c>
      <c r="O1041">
        <v>72</v>
      </c>
      <c r="P1041">
        <f>#N/A</f>
        <v>500</v>
      </c>
      <c r="Q1041">
        <v>21</v>
      </c>
      <c r="R1041">
        <v>35</v>
      </c>
      <c r="S1041">
        <v>0.95099999999999996</v>
      </c>
    </row>
    <row r="1042" spans="1:19" x14ac:dyDescent="0.25">
      <c r="A1042">
        <v>1033</v>
      </c>
      <c r="B1042">
        <v>4</v>
      </c>
      <c r="C1042" t="s">
        <v>36</v>
      </c>
      <c r="D1042">
        <v>5.91</v>
      </c>
      <c r="E1042">
        <v>1.0999999999999999E-2</v>
      </c>
      <c r="F1042">
        <v>375</v>
      </c>
      <c r="G1042">
        <v>150</v>
      </c>
      <c r="H1042" t="s">
        <v>24</v>
      </c>
      <c r="I1042" t="s">
        <v>22</v>
      </c>
      <c r="J1042" t="s">
        <v>22</v>
      </c>
      <c r="K1042" t="s">
        <v>22</v>
      </c>
      <c r="L1042" t="s">
        <v>22</v>
      </c>
      <c r="M1042">
        <f>#N/A</f>
        <v>5.9</v>
      </c>
      <c r="N1042" t="s">
        <v>32</v>
      </c>
      <c r="O1042">
        <v>72</v>
      </c>
      <c r="P1042">
        <f>#N/A</f>
        <v>500</v>
      </c>
      <c r="Q1042">
        <v>21</v>
      </c>
      <c r="R1042">
        <v>35</v>
      </c>
      <c r="S1042">
        <v>0.90800000000000003</v>
      </c>
    </row>
    <row r="1043" spans="1:19" x14ac:dyDescent="0.25">
      <c r="A1043">
        <v>1033</v>
      </c>
      <c r="B1043">
        <v>4</v>
      </c>
      <c r="C1043" t="s">
        <v>40</v>
      </c>
      <c r="D1043">
        <v>6.04</v>
      </c>
      <c r="E1043">
        <v>3.8E-3</v>
      </c>
      <c r="F1043">
        <v>495</v>
      </c>
      <c r="G1043">
        <v>179</v>
      </c>
      <c r="H1043" t="s">
        <v>24</v>
      </c>
      <c r="I1043" t="s">
        <v>22</v>
      </c>
      <c r="J1043" t="s">
        <v>22</v>
      </c>
      <c r="K1043" t="s">
        <v>22</v>
      </c>
      <c r="L1043" t="s">
        <v>22</v>
      </c>
      <c r="M1043">
        <f>#N/A</f>
        <v>5.9</v>
      </c>
      <c r="N1043" t="s">
        <v>38</v>
      </c>
      <c r="O1043">
        <v>72</v>
      </c>
      <c r="P1043">
        <f>#N/A</f>
        <v>500</v>
      </c>
      <c r="Q1043">
        <v>21</v>
      </c>
      <c r="R1043">
        <v>35</v>
      </c>
      <c r="S1043">
        <v>0.83599999999999997</v>
      </c>
    </row>
    <row r="1044" spans="1:19" x14ac:dyDescent="0.25">
      <c r="A1044">
        <v>1033</v>
      </c>
      <c r="B1044">
        <v>4</v>
      </c>
      <c r="C1044" t="s">
        <v>37</v>
      </c>
      <c r="D1044">
        <v>6.04</v>
      </c>
      <c r="E1044">
        <v>1.5E-3</v>
      </c>
      <c r="F1044">
        <v>480</v>
      </c>
      <c r="G1044">
        <v>169</v>
      </c>
      <c r="H1044" t="s">
        <v>24</v>
      </c>
      <c r="I1044" t="s">
        <v>22</v>
      </c>
      <c r="J1044" t="s">
        <v>22</v>
      </c>
      <c r="K1044" t="s">
        <v>22</v>
      </c>
      <c r="L1044" t="s">
        <v>22</v>
      </c>
      <c r="M1044">
        <f>#N/A</f>
        <v>5.9</v>
      </c>
      <c r="N1044" t="s">
        <v>38</v>
      </c>
      <c r="O1044">
        <v>72</v>
      </c>
      <c r="P1044">
        <f>#N/A</f>
        <v>500</v>
      </c>
      <c r="Q1044">
        <v>21</v>
      </c>
      <c r="R1044">
        <v>35</v>
      </c>
      <c r="S1044">
        <v>0.84899999999999998</v>
      </c>
    </row>
    <row r="1045" spans="1:19" x14ac:dyDescent="0.25">
      <c r="A1045">
        <v>1033</v>
      </c>
      <c r="B1045">
        <v>4</v>
      </c>
      <c r="C1045" t="s">
        <v>39</v>
      </c>
      <c r="D1045">
        <v>6.34</v>
      </c>
      <c r="E1045">
        <v>8.0000000000000004E-4</v>
      </c>
      <c r="F1045">
        <v>400</v>
      </c>
      <c r="G1045">
        <v>163</v>
      </c>
      <c r="H1045" t="s">
        <v>24</v>
      </c>
      <c r="I1045" t="s">
        <v>22</v>
      </c>
      <c r="J1045" t="s">
        <v>22</v>
      </c>
      <c r="K1045" t="s">
        <v>22</v>
      </c>
      <c r="L1045" t="s">
        <v>22</v>
      </c>
      <c r="M1045">
        <f>#N/A</f>
        <v>5.9</v>
      </c>
      <c r="N1045" t="s">
        <v>38</v>
      </c>
      <c r="O1045">
        <v>72</v>
      </c>
      <c r="P1045">
        <f>#N/A</f>
        <v>500</v>
      </c>
      <c r="Q1045">
        <v>21</v>
      </c>
      <c r="R1045">
        <v>35</v>
      </c>
      <c r="S1045">
        <v>0.83299999999999996</v>
      </c>
    </row>
    <row r="1046" spans="1:19" x14ac:dyDescent="0.25">
      <c r="A1046">
        <v>1033</v>
      </c>
      <c r="B1046">
        <v>4</v>
      </c>
      <c r="C1046" t="s">
        <v>42</v>
      </c>
      <c r="D1046">
        <v>6.5</v>
      </c>
      <c r="E1046">
        <v>2.5999999999999998E-4</v>
      </c>
      <c r="F1046">
        <v>400</v>
      </c>
      <c r="G1046">
        <v>273</v>
      </c>
      <c r="H1046" t="s">
        <v>24</v>
      </c>
      <c r="I1046" t="s">
        <v>22</v>
      </c>
      <c r="J1046" t="s">
        <v>22</v>
      </c>
      <c r="K1046" t="s">
        <v>22</v>
      </c>
      <c r="L1046" t="s">
        <v>22</v>
      </c>
      <c r="M1046">
        <f>#N/A</f>
        <v>5.9</v>
      </c>
      <c r="N1046" t="s">
        <v>43</v>
      </c>
      <c r="O1046">
        <v>72</v>
      </c>
      <c r="P1046">
        <f>#N/A</f>
        <v>500</v>
      </c>
      <c r="Q1046">
        <v>21</v>
      </c>
      <c r="R1046">
        <v>35</v>
      </c>
      <c r="S1046">
        <v>0.82899999999999996</v>
      </c>
    </row>
    <row r="1047" spans="1:19" x14ac:dyDescent="0.25">
      <c r="A1047">
        <v>1033</v>
      </c>
      <c r="B1047">
        <v>4</v>
      </c>
      <c r="C1047" t="s">
        <v>33</v>
      </c>
      <c r="D1047">
        <v>5.61</v>
      </c>
      <c r="E1047">
        <v>2E-3</v>
      </c>
      <c r="F1047">
        <v>350</v>
      </c>
      <c r="G1047">
        <v>255</v>
      </c>
      <c r="H1047" t="s">
        <v>24</v>
      </c>
      <c r="I1047" t="s">
        <v>22</v>
      </c>
      <c r="J1047" t="s">
        <v>22</v>
      </c>
      <c r="K1047" t="s">
        <v>22</v>
      </c>
      <c r="L1047" t="s">
        <v>22</v>
      </c>
      <c r="M1047">
        <f>#N/A</f>
        <v>5.9</v>
      </c>
      <c r="N1047" t="s">
        <v>32</v>
      </c>
      <c r="O1047">
        <v>72</v>
      </c>
      <c r="P1047">
        <f>#N/A</f>
        <v>500</v>
      </c>
      <c r="Q1047">
        <v>21</v>
      </c>
      <c r="R1047">
        <v>35</v>
      </c>
      <c r="S1047">
        <v>0.82</v>
      </c>
    </row>
    <row r="1048" spans="1:19" x14ac:dyDescent="0.25">
      <c r="A1048">
        <v>1033</v>
      </c>
      <c r="B1048">
        <v>4</v>
      </c>
      <c r="C1048" t="s">
        <v>41</v>
      </c>
      <c r="D1048">
        <v>6.75</v>
      </c>
      <c r="E1048">
        <v>2.9999999999999997E-4</v>
      </c>
      <c r="F1048">
        <v>524</v>
      </c>
      <c r="G1048">
        <v>262</v>
      </c>
      <c r="H1048" t="s">
        <v>24</v>
      </c>
      <c r="I1048" t="s">
        <v>22</v>
      </c>
      <c r="J1048" t="s">
        <v>22</v>
      </c>
      <c r="K1048" t="s">
        <v>22</v>
      </c>
      <c r="L1048" t="s">
        <v>22</v>
      </c>
      <c r="M1048">
        <f>#N/A</f>
        <v>5.9</v>
      </c>
      <c r="N1048" t="s">
        <v>43</v>
      </c>
      <c r="O1048">
        <v>72</v>
      </c>
      <c r="P1048">
        <f>#N/A</f>
        <v>500</v>
      </c>
      <c r="Q1048">
        <v>21</v>
      </c>
      <c r="R1048">
        <v>35</v>
      </c>
      <c r="S1048">
        <v>0.82</v>
      </c>
    </row>
    <row r="1049" spans="1:19" x14ac:dyDescent="0.25">
      <c r="A1049">
        <v>1033</v>
      </c>
      <c r="B1049">
        <v>4</v>
      </c>
      <c r="C1049" t="s">
        <v>34</v>
      </c>
      <c r="D1049">
        <v>4.18</v>
      </c>
      <c r="E1049">
        <v>1.68</v>
      </c>
      <c r="F1049">
        <v>295</v>
      </c>
      <c r="G1049">
        <v>116</v>
      </c>
      <c r="H1049" t="s">
        <v>24</v>
      </c>
      <c r="I1049" t="s">
        <v>22</v>
      </c>
      <c r="J1049" t="s">
        <v>22</v>
      </c>
      <c r="K1049" t="s">
        <v>22</v>
      </c>
      <c r="L1049" t="s">
        <v>22</v>
      </c>
      <c r="M1049">
        <f>#N/A</f>
        <v>5.9</v>
      </c>
      <c r="N1049" t="s">
        <v>29</v>
      </c>
      <c r="O1049">
        <v>72</v>
      </c>
      <c r="P1049">
        <f>#N/A</f>
        <v>500</v>
      </c>
      <c r="Q1049">
        <v>21</v>
      </c>
      <c r="R1049">
        <v>35</v>
      </c>
      <c r="S1049">
        <v>0.95499999999999996</v>
      </c>
    </row>
    <row r="1050" spans="1:19" x14ac:dyDescent="0.25">
      <c r="A1050">
        <v>1033</v>
      </c>
      <c r="B1050">
        <v>4</v>
      </c>
      <c r="C1050" t="s">
        <v>44</v>
      </c>
      <c r="D1050">
        <v>6.58</v>
      </c>
      <c r="E1050">
        <v>2.3000000000000001E-4</v>
      </c>
      <c r="F1050">
        <v>536</v>
      </c>
      <c r="G1050">
        <v>150</v>
      </c>
      <c r="H1050" t="s">
        <v>24</v>
      </c>
      <c r="I1050" t="s">
        <v>22</v>
      </c>
      <c r="J1050" t="s">
        <v>22</v>
      </c>
      <c r="K1050" t="s">
        <v>22</v>
      </c>
      <c r="L1050" t="s">
        <v>22</v>
      </c>
      <c r="M1050">
        <f>#N/A</f>
        <v>5.9</v>
      </c>
      <c r="N1050" t="s">
        <v>43</v>
      </c>
      <c r="O1050">
        <v>72</v>
      </c>
      <c r="P1050">
        <f>#N/A</f>
        <v>500</v>
      </c>
      <c r="Q1050">
        <v>21</v>
      </c>
      <c r="R1050">
        <v>35</v>
      </c>
      <c r="S1050">
        <v>0.85599999999999998</v>
      </c>
    </row>
    <row r="1051" spans="1:19" x14ac:dyDescent="0.25">
      <c r="A1051">
        <v>1033</v>
      </c>
      <c r="B1051">
        <v>4</v>
      </c>
      <c r="C1051" t="s">
        <v>28</v>
      </c>
      <c r="D1051">
        <v>4.57</v>
      </c>
      <c r="E1051">
        <v>1.1000000000000001</v>
      </c>
      <c r="F1051">
        <v>340</v>
      </c>
      <c r="G1051">
        <v>101</v>
      </c>
      <c r="H1051" t="s">
        <v>24</v>
      </c>
      <c r="I1051" t="s">
        <v>22</v>
      </c>
      <c r="J1051" t="s">
        <v>22</v>
      </c>
      <c r="K1051" t="s">
        <v>22</v>
      </c>
      <c r="L1051" t="s">
        <v>22</v>
      </c>
      <c r="M1051">
        <f>#N/A</f>
        <v>5.9</v>
      </c>
      <c r="N1051" t="s">
        <v>29</v>
      </c>
      <c r="O1051">
        <v>72</v>
      </c>
      <c r="P1051">
        <f>#N/A</f>
        <v>500</v>
      </c>
      <c r="Q1051">
        <v>21</v>
      </c>
      <c r="R1051">
        <v>35</v>
      </c>
      <c r="S1051">
        <v>0.88600000000000001</v>
      </c>
    </row>
    <row r="1052" spans="1:19" x14ac:dyDescent="0.25">
      <c r="A1052">
        <v>1033</v>
      </c>
      <c r="B1052">
        <v>4</v>
      </c>
      <c r="C1052" t="s">
        <v>35</v>
      </c>
      <c r="D1052">
        <v>5.18</v>
      </c>
      <c r="E1052">
        <v>0.13200000000000001</v>
      </c>
      <c r="F1052">
        <v>393</v>
      </c>
      <c r="G1052">
        <v>150</v>
      </c>
      <c r="H1052" t="s">
        <v>24</v>
      </c>
      <c r="I1052" t="s">
        <v>22</v>
      </c>
      <c r="J1052" t="s">
        <v>22</v>
      </c>
      <c r="K1052" t="s">
        <v>22</v>
      </c>
      <c r="L1052" t="s">
        <v>22</v>
      </c>
      <c r="M1052">
        <f>#N/A</f>
        <v>5.9</v>
      </c>
      <c r="N1052" t="s">
        <v>32</v>
      </c>
      <c r="O1052">
        <v>72</v>
      </c>
      <c r="P1052">
        <f>#N/A</f>
        <v>500</v>
      </c>
      <c r="Q1052">
        <v>21</v>
      </c>
      <c r="R1052">
        <v>35</v>
      </c>
      <c r="S1052">
        <v>0.90700000000000003</v>
      </c>
    </row>
    <row r="1053" spans="1:19" x14ac:dyDescent="0.25">
      <c r="A1053">
        <v>1033</v>
      </c>
      <c r="B1053">
        <v>5</v>
      </c>
      <c r="C1053">
        <v>4</v>
      </c>
      <c r="D1053">
        <v>4</v>
      </c>
      <c r="E1053">
        <v>1.93</v>
      </c>
      <c r="F1053">
        <v>300</v>
      </c>
      <c r="G1053">
        <v>92</v>
      </c>
      <c r="H1053" t="s">
        <v>24</v>
      </c>
      <c r="I1053" t="s">
        <v>22</v>
      </c>
      <c r="J1053" t="s">
        <v>22</v>
      </c>
      <c r="K1053" t="s">
        <v>22</v>
      </c>
      <c r="L1053" t="s">
        <v>22</v>
      </c>
      <c r="M1053">
        <f>#N/A</f>
        <v>5.9</v>
      </c>
      <c r="N1053" t="s">
        <v>29</v>
      </c>
      <c r="O1053">
        <v>72</v>
      </c>
      <c r="P1053">
        <f>#N/A</f>
        <v>500</v>
      </c>
      <c r="Q1053">
        <v>21</v>
      </c>
      <c r="R1053">
        <v>35</v>
      </c>
      <c r="S1053">
        <v>0.91300000000000003</v>
      </c>
    </row>
    <row r="1054" spans="1:19" x14ac:dyDescent="0.25">
      <c r="A1054">
        <v>1033</v>
      </c>
      <c r="B1054">
        <v>5</v>
      </c>
      <c r="C1054" t="s">
        <v>30</v>
      </c>
      <c r="D1054">
        <v>4.88</v>
      </c>
      <c r="E1054">
        <v>7.2999999999999995E-2</v>
      </c>
      <c r="F1054">
        <v>340</v>
      </c>
      <c r="G1054">
        <v>216</v>
      </c>
      <c r="H1054" t="s">
        <v>24</v>
      </c>
      <c r="I1054" t="s">
        <v>22</v>
      </c>
      <c r="J1054" t="s">
        <v>22</v>
      </c>
      <c r="K1054" t="s">
        <v>22</v>
      </c>
      <c r="L1054" t="s">
        <v>22</v>
      </c>
      <c r="M1054">
        <f>#N/A</f>
        <v>5.9</v>
      </c>
      <c r="N1054" t="s">
        <v>29</v>
      </c>
      <c r="O1054">
        <v>72</v>
      </c>
      <c r="P1054">
        <f>#N/A</f>
        <v>500</v>
      </c>
      <c r="Q1054">
        <v>21</v>
      </c>
      <c r="R1054">
        <v>35</v>
      </c>
      <c r="S1054">
        <v>0.92200000000000004</v>
      </c>
    </row>
    <row r="1055" spans="1:19" x14ac:dyDescent="0.25">
      <c r="A1055">
        <v>1033</v>
      </c>
      <c r="B1055">
        <v>5</v>
      </c>
      <c r="C1055" t="s">
        <v>36</v>
      </c>
      <c r="D1055">
        <v>5.91</v>
      </c>
      <c r="E1055">
        <v>1.0999999999999999E-2</v>
      </c>
      <c r="F1055">
        <v>375</v>
      </c>
      <c r="G1055">
        <v>150</v>
      </c>
      <c r="H1055" t="s">
        <v>24</v>
      </c>
      <c r="I1055" t="s">
        <v>22</v>
      </c>
      <c r="J1055" t="s">
        <v>22</v>
      </c>
      <c r="K1055" t="s">
        <v>22</v>
      </c>
      <c r="L1055" t="s">
        <v>22</v>
      </c>
      <c r="M1055">
        <f>#N/A</f>
        <v>5.9</v>
      </c>
      <c r="N1055" t="s">
        <v>32</v>
      </c>
      <c r="O1055">
        <v>72</v>
      </c>
      <c r="P1055">
        <f>#N/A</f>
        <v>500</v>
      </c>
      <c r="Q1055">
        <v>21</v>
      </c>
      <c r="R1055">
        <v>35</v>
      </c>
      <c r="S1055">
        <v>0.88900000000000001</v>
      </c>
    </row>
    <row r="1056" spans="1:19" x14ac:dyDescent="0.25">
      <c r="A1056">
        <v>1033</v>
      </c>
      <c r="B1056">
        <v>5</v>
      </c>
      <c r="C1056" t="s">
        <v>40</v>
      </c>
      <c r="D1056">
        <v>6.04</v>
      </c>
      <c r="E1056">
        <v>3.8E-3</v>
      </c>
      <c r="F1056">
        <v>495</v>
      </c>
      <c r="G1056">
        <v>179</v>
      </c>
      <c r="H1056" t="s">
        <v>24</v>
      </c>
      <c r="I1056" t="s">
        <v>22</v>
      </c>
      <c r="J1056" t="s">
        <v>22</v>
      </c>
      <c r="K1056" t="s">
        <v>22</v>
      </c>
      <c r="L1056" t="s">
        <v>22</v>
      </c>
      <c r="M1056">
        <f>#N/A</f>
        <v>5.9</v>
      </c>
      <c r="N1056" t="s">
        <v>38</v>
      </c>
      <c r="O1056">
        <v>72</v>
      </c>
      <c r="P1056">
        <f>#N/A</f>
        <v>500</v>
      </c>
      <c r="Q1056">
        <v>21</v>
      </c>
      <c r="R1056">
        <v>35</v>
      </c>
      <c r="S1056">
        <v>0.85199999999999998</v>
      </c>
    </row>
    <row r="1057" spans="1:19" x14ac:dyDescent="0.25">
      <c r="A1057">
        <v>1033</v>
      </c>
      <c r="B1057">
        <v>5</v>
      </c>
      <c r="C1057" t="s">
        <v>37</v>
      </c>
      <c r="D1057">
        <v>6.04</v>
      </c>
      <c r="E1057">
        <v>1.5E-3</v>
      </c>
      <c r="F1057">
        <v>480</v>
      </c>
      <c r="G1057">
        <v>169</v>
      </c>
      <c r="H1057" t="s">
        <v>24</v>
      </c>
      <c r="I1057" t="s">
        <v>22</v>
      </c>
      <c r="J1057" t="s">
        <v>22</v>
      </c>
      <c r="K1057" t="s">
        <v>22</v>
      </c>
      <c r="L1057" t="s">
        <v>22</v>
      </c>
      <c r="M1057">
        <f>#N/A</f>
        <v>5.9</v>
      </c>
      <c r="N1057" t="s">
        <v>38</v>
      </c>
      <c r="O1057">
        <v>72</v>
      </c>
      <c r="P1057">
        <f>#N/A</f>
        <v>500</v>
      </c>
      <c r="Q1057">
        <v>21</v>
      </c>
      <c r="R1057">
        <v>35</v>
      </c>
      <c r="S1057">
        <v>0.86599999999999999</v>
      </c>
    </row>
    <row r="1058" spans="1:19" x14ac:dyDescent="0.25">
      <c r="A1058">
        <v>1033</v>
      </c>
      <c r="B1058">
        <v>5</v>
      </c>
      <c r="C1058" t="s">
        <v>39</v>
      </c>
      <c r="D1058">
        <v>6.34</v>
      </c>
      <c r="E1058">
        <v>8.0000000000000004E-4</v>
      </c>
      <c r="F1058">
        <v>400</v>
      </c>
      <c r="G1058">
        <v>163</v>
      </c>
      <c r="H1058" t="s">
        <v>24</v>
      </c>
      <c r="I1058" t="s">
        <v>22</v>
      </c>
      <c r="J1058" t="s">
        <v>22</v>
      </c>
      <c r="K1058" t="s">
        <v>22</v>
      </c>
      <c r="L1058" t="s">
        <v>22</v>
      </c>
      <c r="M1058">
        <f>#N/A</f>
        <v>5.9</v>
      </c>
      <c r="N1058" t="s">
        <v>38</v>
      </c>
      <c r="O1058">
        <v>72</v>
      </c>
      <c r="P1058">
        <f>#N/A</f>
        <v>500</v>
      </c>
      <c r="Q1058">
        <v>21</v>
      </c>
      <c r="R1058">
        <v>35</v>
      </c>
      <c r="S1058">
        <v>0.84899999999999998</v>
      </c>
    </row>
    <row r="1059" spans="1:19" x14ac:dyDescent="0.25">
      <c r="A1059">
        <v>1033</v>
      </c>
      <c r="B1059">
        <v>5</v>
      </c>
      <c r="C1059" t="s">
        <v>42</v>
      </c>
      <c r="D1059">
        <v>6.5</v>
      </c>
      <c r="E1059">
        <v>2.5999999999999998E-4</v>
      </c>
      <c r="F1059">
        <v>400</v>
      </c>
      <c r="G1059">
        <v>273</v>
      </c>
      <c r="H1059" t="s">
        <v>24</v>
      </c>
      <c r="I1059" t="s">
        <v>22</v>
      </c>
      <c r="J1059" t="s">
        <v>22</v>
      </c>
      <c r="K1059" t="s">
        <v>22</v>
      </c>
      <c r="L1059" t="s">
        <v>22</v>
      </c>
      <c r="M1059">
        <f>#N/A</f>
        <v>5.9</v>
      </c>
      <c r="N1059" t="s">
        <v>43</v>
      </c>
      <c r="O1059">
        <v>72</v>
      </c>
      <c r="P1059">
        <f>#N/A</f>
        <v>500</v>
      </c>
      <c r="Q1059">
        <v>21</v>
      </c>
      <c r="R1059">
        <v>35</v>
      </c>
      <c r="S1059">
        <v>0.81399999999999995</v>
      </c>
    </row>
    <row r="1060" spans="1:19" x14ac:dyDescent="0.25">
      <c r="A1060">
        <v>1033</v>
      </c>
      <c r="B1060">
        <v>5</v>
      </c>
      <c r="C1060" t="s">
        <v>33</v>
      </c>
      <c r="D1060">
        <v>5.61</v>
      </c>
      <c r="E1060">
        <v>2E-3</v>
      </c>
      <c r="F1060">
        <v>350</v>
      </c>
      <c r="G1060">
        <v>255</v>
      </c>
      <c r="H1060" t="s">
        <v>24</v>
      </c>
      <c r="I1060" t="s">
        <v>22</v>
      </c>
      <c r="J1060" t="s">
        <v>22</v>
      </c>
      <c r="K1060" t="s">
        <v>22</v>
      </c>
      <c r="L1060" t="s">
        <v>22</v>
      </c>
      <c r="M1060">
        <f>#N/A</f>
        <v>5.9</v>
      </c>
      <c r="N1060" t="s">
        <v>32</v>
      </c>
      <c r="O1060">
        <v>72</v>
      </c>
      <c r="P1060">
        <f>#N/A</f>
        <v>500</v>
      </c>
      <c r="Q1060">
        <v>21</v>
      </c>
      <c r="R1060">
        <v>35</v>
      </c>
      <c r="S1060">
        <v>0.81699999999999995</v>
      </c>
    </row>
    <row r="1061" spans="1:19" x14ac:dyDescent="0.25">
      <c r="A1061">
        <v>1033</v>
      </c>
      <c r="B1061">
        <v>5</v>
      </c>
      <c r="C1061" t="s">
        <v>41</v>
      </c>
      <c r="D1061">
        <v>6.75</v>
      </c>
      <c r="E1061">
        <v>2.9999999999999997E-4</v>
      </c>
      <c r="F1061">
        <v>524</v>
      </c>
      <c r="G1061">
        <v>262</v>
      </c>
      <c r="H1061" t="s">
        <v>24</v>
      </c>
      <c r="I1061" t="s">
        <v>22</v>
      </c>
      <c r="J1061" t="s">
        <v>22</v>
      </c>
      <c r="K1061" t="s">
        <v>22</v>
      </c>
      <c r="L1061" t="s">
        <v>22</v>
      </c>
      <c r="M1061">
        <f>#N/A</f>
        <v>5.9</v>
      </c>
      <c r="N1061" t="s">
        <v>43</v>
      </c>
      <c r="O1061">
        <v>72</v>
      </c>
      <c r="P1061">
        <f>#N/A</f>
        <v>500</v>
      </c>
      <c r="Q1061">
        <v>21</v>
      </c>
      <c r="R1061">
        <v>35</v>
      </c>
      <c r="S1061">
        <v>0.85599999999999998</v>
      </c>
    </row>
    <row r="1062" spans="1:19" x14ac:dyDescent="0.25">
      <c r="A1062">
        <v>1033</v>
      </c>
      <c r="B1062">
        <v>5</v>
      </c>
      <c r="C1062" t="s">
        <v>34</v>
      </c>
      <c r="D1062">
        <v>4.18</v>
      </c>
      <c r="E1062">
        <v>1.68</v>
      </c>
      <c r="F1062">
        <v>295</v>
      </c>
      <c r="G1062">
        <v>116</v>
      </c>
      <c r="H1062" t="s">
        <v>24</v>
      </c>
      <c r="I1062" t="s">
        <v>22</v>
      </c>
      <c r="J1062" t="s">
        <v>22</v>
      </c>
      <c r="K1062" t="s">
        <v>22</v>
      </c>
      <c r="L1062" t="s">
        <v>22</v>
      </c>
      <c r="M1062">
        <f>#N/A</f>
        <v>5.9</v>
      </c>
      <c r="N1062" t="s">
        <v>29</v>
      </c>
      <c r="O1062">
        <v>72</v>
      </c>
      <c r="P1062">
        <f>#N/A</f>
        <v>500</v>
      </c>
      <c r="Q1062">
        <v>21</v>
      </c>
      <c r="R1062">
        <v>35</v>
      </c>
      <c r="S1062">
        <v>0.93300000000000005</v>
      </c>
    </row>
    <row r="1063" spans="1:19" x14ac:dyDescent="0.25">
      <c r="A1063">
        <v>1033</v>
      </c>
      <c r="B1063">
        <v>5</v>
      </c>
      <c r="C1063" t="s">
        <v>44</v>
      </c>
      <c r="D1063">
        <v>6.58</v>
      </c>
      <c r="E1063">
        <v>2.3000000000000001E-4</v>
      </c>
      <c r="F1063">
        <v>536</v>
      </c>
      <c r="G1063">
        <v>150</v>
      </c>
      <c r="H1063" t="s">
        <v>24</v>
      </c>
      <c r="I1063" t="s">
        <v>22</v>
      </c>
      <c r="J1063" t="s">
        <v>22</v>
      </c>
      <c r="K1063" t="s">
        <v>22</v>
      </c>
      <c r="L1063" t="s">
        <v>22</v>
      </c>
      <c r="M1063">
        <f>#N/A</f>
        <v>5.9</v>
      </c>
      <c r="N1063" t="s">
        <v>43</v>
      </c>
      <c r="O1063">
        <v>72</v>
      </c>
      <c r="P1063">
        <f>#N/A</f>
        <v>500</v>
      </c>
      <c r="Q1063">
        <v>21</v>
      </c>
      <c r="R1063">
        <v>35</v>
      </c>
      <c r="S1063">
        <v>0.85299999999999998</v>
      </c>
    </row>
    <row r="1064" spans="1:19" x14ac:dyDescent="0.25">
      <c r="A1064">
        <v>1033</v>
      </c>
      <c r="B1064">
        <v>5</v>
      </c>
      <c r="C1064" t="s">
        <v>28</v>
      </c>
      <c r="D1064">
        <v>4.57</v>
      </c>
      <c r="E1064">
        <v>1.1000000000000001</v>
      </c>
      <c r="F1064">
        <v>340</v>
      </c>
      <c r="G1064">
        <v>101</v>
      </c>
      <c r="H1064" t="s">
        <v>24</v>
      </c>
      <c r="I1064" t="s">
        <v>22</v>
      </c>
      <c r="J1064" t="s">
        <v>22</v>
      </c>
      <c r="K1064" t="s">
        <v>22</v>
      </c>
      <c r="L1064" t="s">
        <v>22</v>
      </c>
      <c r="M1064">
        <f>#N/A</f>
        <v>5.9</v>
      </c>
      <c r="N1064" t="s">
        <v>29</v>
      </c>
      <c r="O1064">
        <v>72</v>
      </c>
      <c r="P1064">
        <f>#N/A</f>
        <v>500</v>
      </c>
      <c r="Q1064">
        <v>21</v>
      </c>
      <c r="R1064">
        <v>35</v>
      </c>
      <c r="S1064">
        <v>0.878</v>
      </c>
    </row>
    <row r="1065" spans="1:19" x14ac:dyDescent="0.25">
      <c r="A1065">
        <v>1033</v>
      </c>
      <c r="B1065">
        <v>5</v>
      </c>
      <c r="C1065" t="s">
        <v>35</v>
      </c>
      <c r="D1065">
        <v>5.18</v>
      </c>
      <c r="E1065">
        <v>0.13200000000000001</v>
      </c>
      <c r="F1065">
        <v>393</v>
      </c>
      <c r="G1065">
        <v>150</v>
      </c>
      <c r="H1065" t="s">
        <v>24</v>
      </c>
      <c r="I1065" t="s">
        <v>22</v>
      </c>
      <c r="J1065" t="s">
        <v>22</v>
      </c>
      <c r="K1065" t="s">
        <v>22</v>
      </c>
      <c r="L1065" t="s">
        <v>22</v>
      </c>
      <c r="M1065">
        <f>#N/A</f>
        <v>5.9</v>
      </c>
      <c r="N1065" t="s">
        <v>32</v>
      </c>
      <c r="O1065">
        <v>72</v>
      </c>
      <c r="P1065">
        <f>#N/A</f>
        <v>500</v>
      </c>
      <c r="Q1065">
        <v>21</v>
      </c>
      <c r="R1065">
        <v>35</v>
      </c>
      <c r="S1065">
        <v>0.89300000000000002</v>
      </c>
    </row>
    <row r="1066" spans="1:19" x14ac:dyDescent="0.25">
      <c r="A1066">
        <v>1033</v>
      </c>
      <c r="B1066">
        <v>6</v>
      </c>
      <c r="C1066">
        <v>4</v>
      </c>
      <c r="D1066">
        <v>4</v>
      </c>
      <c r="E1066">
        <v>1.93</v>
      </c>
      <c r="F1066">
        <v>300</v>
      </c>
      <c r="G1066">
        <v>92</v>
      </c>
      <c r="H1066" t="s">
        <v>24</v>
      </c>
      <c r="I1066" t="s">
        <v>22</v>
      </c>
      <c r="J1066" t="s">
        <v>22</v>
      </c>
      <c r="K1066" t="s">
        <v>22</v>
      </c>
      <c r="L1066" t="s">
        <v>22</v>
      </c>
      <c r="M1066">
        <f>#N/A</f>
        <v>5.9</v>
      </c>
      <c r="N1066" t="s">
        <v>29</v>
      </c>
      <c r="O1066">
        <v>72</v>
      </c>
      <c r="P1066">
        <f>#N/A</f>
        <v>500</v>
      </c>
      <c r="Q1066">
        <v>21</v>
      </c>
      <c r="R1066">
        <v>35</v>
      </c>
      <c r="S1066">
        <v>0.90700000000000003</v>
      </c>
    </row>
    <row r="1067" spans="1:19" x14ac:dyDescent="0.25">
      <c r="A1067">
        <v>1033</v>
      </c>
      <c r="B1067">
        <v>6</v>
      </c>
      <c r="C1067" t="s">
        <v>30</v>
      </c>
      <c r="D1067">
        <v>4.88</v>
      </c>
      <c r="E1067">
        <v>7.2999999999999995E-2</v>
      </c>
      <c r="F1067">
        <v>340</v>
      </c>
      <c r="G1067">
        <v>216</v>
      </c>
      <c r="H1067" t="s">
        <v>24</v>
      </c>
      <c r="I1067" t="s">
        <v>22</v>
      </c>
      <c r="J1067" t="s">
        <v>22</v>
      </c>
      <c r="K1067" t="s">
        <v>22</v>
      </c>
      <c r="L1067" t="s">
        <v>22</v>
      </c>
      <c r="M1067">
        <v>5.9</v>
      </c>
      <c r="N1067" t="s">
        <v>29</v>
      </c>
      <c r="O1067">
        <v>72</v>
      </c>
      <c r="P1067">
        <v>500</v>
      </c>
      <c r="Q1067">
        <v>21</v>
      </c>
      <c r="R1067">
        <v>35</v>
      </c>
      <c r="S1067">
        <v>0.92300000000000004</v>
      </c>
    </row>
    <row r="1068" spans="1:19" x14ac:dyDescent="0.25">
      <c r="A1068">
        <v>1033</v>
      </c>
      <c r="B1068">
        <v>6</v>
      </c>
      <c r="C1068" t="s">
        <v>36</v>
      </c>
      <c r="D1068">
        <v>5.91</v>
      </c>
      <c r="E1068">
        <v>1.0999999999999999E-2</v>
      </c>
      <c r="F1068">
        <v>375</v>
      </c>
      <c r="G1068">
        <v>150</v>
      </c>
      <c r="H1068" t="s">
        <v>24</v>
      </c>
      <c r="I1068" t="s">
        <v>22</v>
      </c>
      <c r="J1068" t="s">
        <v>22</v>
      </c>
      <c r="K1068" t="s">
        <v>22</v>
      </c>
      <c r="L1068" t="s">
        <v>22</v>
      </c>
      <c r="M1068">
        <v>5.9</v>
      </c>
      <c r="N1068" t="s">
        <v>32</v>
      </c>
      <c r="O1068">
        <v>72</v>
      </c>
      <c r="P1068">
        <v>500</v>
      </c>
      <c r="Q1068">
        <v>21</v>
      </c>
      <c r="R1068">
        <v>35</v>
      </c>
      <c r="S1068">
        <v>0.89600000000000002</v>
      </c>
    </row>
    <row r="1069" spans="1:19" x14ac:dyDescent="0.25">
      <c r="A1069">
        <v>1033</v>
      </c>
      <c r="B1069">
        <v>6</v>
      </c>
      <c r="C1069" t="s">
        <v>40</v>
      </c>
      <c r="D1069">
        <v>6.04</v>
      </c>
      <c r="E1069">
        <v>3.8E-3</v>
      </c>
      <c r="F1069">
        <v>495</v>
      </c>
      <c r="G1069">
        <v>179</v>
      </c>
      <c r="H1069" t="s">
        <v>24</v>
      </c>
      <c r="I1069" t="s">
        <v>22</v>
      </c>
      <c r="J1069" t="s">
        <v>22</v>
      </c>
      <c r="K1069" t="s">
        <v>22</v>
      </c>
      <c r="L1069" t="s">
        <v>22</v>
      </c>
      <c r="M1069">
        <v>5.9</v>
      </c>
      <c r="N1069" t="s">
        <v>38</v>
      </c>
      <c r="O1069">
        <v>72</v>
      </c>
      <c r="P1069">
        <v>500</v>
      </c>
      <c r="Q1069">
        <v>21</v>
      </c>
      <c r="R1069">
        <v>35</v>
      </c>
      <c r="S1069">
        <v>0.85299999999999998</v>
      </c>
    </row>
    <row r="1070" spans="1:19" x14ac:dyDescent="0.25">
      <c r="A1070">
        <v>1033</v>
      </c>
      <c r="B1070">
        <v>6</v>
      </c>
      <c r="C1070" t="s">
        <v>37</v>
      </c>
      <c r="D1070">
        <v>6.04</v>
      </c>
      <c r="E1070">
        <v>1.5E-3</v>
      </c>
      <c r="F1070">
        <v>480</v>
      </c>
      <c r="G1070">
        <v>169</v>
      </c>
      <c r="H1070" t="s">
        <v>24</v>
      </c>
      <c r="I1070" t="s">
        <v>22</v>
      </c>
      <c r="J1070" t="s">
        <v>22</v>
      </c>
      <c r="K1070" t="s">
        <v>22</v>
      </c>
      <c r="L1070" t="s">
        <v>22</v>
      </c>
      <c r="M1070">
        <v>5.9</v>
      </c>
      <c r="N1070" t="s">
        <v>38</v>
      </c>
      <c r="O1070">
        <v>72</v>
      </c>
      <c r="P1070">
        <v>500</v>
      </c>
      <c r="Q1070">
        <v>21</v>
      </c>
      <c r="R1070">
        <v>35</v>
      </c>
      <c r="S1070">
        <v>0.86199999999999999</v>
      </c>
    </row>
    <row r="1071" spans="1:19" x14ac:dyDescent="0.25">
      <c r="A1071">
        <v>1033</v>
      </c>
      <c r="B1071">
        <v>6</v>
      </c>
      <c r="C1071" t="s">
        <v>39</v>
      </c>
      <c r="D1071">
        <v>6.34</v>
      </c>
      <c r="E1071">
        <v>8.0000000000000004E-4</v>
      </c>
      <c r="F1071">
        <v>400</v>
      </c>
      <c r="G1071">
        <v>163</v>
      </c>
      <c r="H1071" t="s">
        <v>24</v>
      </c>
      <c r="I1071" t="s">
        <v>22</v>
      </c>
      <c r="J1071" t="s">
        <v>22</v>
      </c>
      <c r="K1071" t="s">
        <v>22</v>
      </c>
      <c r="L1071" t="s">
        <v>22</v>
      </c>
      <c r="M1071">
        <v>5.9</v>
      </c>
      <c r="N1071" t="s">
        <v>38</v>
      </c>
      <c r="O1071">
        <v>72</v>
      </c>
      <c r="P1071">
        <v>500</v>
      </c>
      <c r="Q1071">
        <v>21</v>
      </c>
      <c r="R1071">
        <v>35</v>
      </c>
      <c r="S1071">
        <v>0.84499999999999997</v>
      </c>
    </row>
    <row r="1072" spans="1:19" x14ac:dyDescent="0.25">
      <c r="A1072">
        <v>1033</v>
      </c>
      <c r="B1072">
        <v>6</v>
      </c>
      <c r="C1072" t="s">
        <v>42</v>
      </c>
      <c r="D1072">
        <v>6.5</v>
      </c>
      <c r="E1072">
        <v>2.5999999999999998E-4</v>
      </c>
      <c r="F1072">
        <v>400</v>
      </c>
      <c r="G1072">
        <v>273</v>
      </c>
      <c r="H1072" t="s">
        <v>24</v>
      </c>
      <c r="I1072" t="s">
        <v>22</v>
      </c>
      <c r="J1072" t="s">
        <v>22</v>
      </c>
      <c r="K1072" t="s">
        <v>22</v>
      </c>
      <c r="L1072" t="s">
        <v>22</v>
      </c>
      <c r="M1072">
        <v>5.9</v>
      </c>
      <c r="N1072" t="s">
        <v>43</v>
      </c>
      <c r="O1072">
        <v>72</v>
      </c>
      <c r="P1072">
        <v>500</v>
      </c>
      <c r="Q1072">
        <v>21</v>
      </c>
      <c r="R1072">
        <v>35</v>
      </c>
      <c r="S1072">
        <v>0.79300000000000004</v>
      </c>
    </row>
    <row r="1073" spans="1:19" x14ac:dyDescent="0.25">
      <c r="A1073">
        <v>1033</v>
      </c>
      <c r="B1073">
        <v>6</v>
      </c>
      <c r="C1073" t="s">
        <v>33</v>
      </c>
      <c r="D1073">
        <v>5.61</v>
      </c>
      <c r="E1073">
        <v>2E-3</v>
      </c>
      <c r="F1073">
        <v>350</v>
      </c>
      <c r="G1073">
        <v>255</v>
      </c>
      <c r="H1073" t="s">
        <v>24</v>
      </c>
      <c r="I1073" t="s">
        <v>22</v>
      </c>
      <c r="J1073" t="s">
        <v>22</v>
      </c>
      <c r="K1073" t="s">
        <v>22</v>
      </c>
      <c r="L1073" t="s">
        <v>22</v>
      </c>
      <c r="M1073">
        <v>5.9</v>
      </c>
      <c r="N1073" t="s">
        <v>32</v>
      </c>
      <c r="O1073">
        <v>72</v>
      </c>
      <c r="P1073">
        <v>500</v>
      </c>
      <c r="Q1073">
        <v>21</v>
      </c>
      <c r="R1073">
        <v>35</v>
      </c>
      <c r="S1073">
        <v>0.80300000000000005</v>
      </c>
    </row>
    <row r="1074" spans="1:19" x14ac:dyDescent="0.25">
      <c r="A1074">
        <v>1033</v>
      </c>
      <c r="B1074">
        <v>6</v>
      </c>
      <c r="C1074" t="s">
        <v>41</v>
      </c>
      <c r="D1074">
        <v>6.75</v>
      </c>
      <c r="E1074">
        <v>2.9999999999999997E-4</v>
      </c>
      <c r="F1074">
        <v>524</v>
      </c>
      <c r="G1074">
        <v>262</v>
      </c>
      <c r="H1074" t="s">
        <v>24</v>
      </c>
      <c r="I1074" t="s">
        <v>22</v>
      </c>
      <c r="J1074" t="s">
        <v>22</v>
      </c>
      <c r="K1074" t="s">
        <v>22</v>
      </c>
      <c r="L1074" t="s">
        <v>22</v>
      </c>
      <c r="M1074">
        <v>5.9</v>
      </c>
      <c r="N1074" t="s">
        <v>43</v>
      </c>
      <c r="O1074">
        <v>72</v>
      </c>
      <c r="P1074">
        <v>500</v>
      </c>
      <c r="Q1074">
        <v>21</v>
      </c>
      <c r="R1074">
        <v>35</v>
      </c>
      <c r="S1074">
        <v>0.83199999999999996</v>
      </c>
    </row>
    <row r="1075" spans="1:19" x14ac:dyDescent="0.25">
      <c r="A1075">
        <v>1033</v>
      </c>
      <c r="B1075">
        <v>6</v>
      </c>
      <c r="C1075" t="s">
        <v>34</v>
      </c>
      <c r="D1075">
        <v>4.18</v>
      </c>
      <c r="E1075">
        <v>1.68</v>
      </c>
      <c r="F1075">
        <v>295</v>
      </c>
      <c r="G1075">
        <v>116</v>
      </c>
      <c r="H1075" t="s">
        <v>24</v>
      </c>
      <c r="I1075" t="s">
        <v>22</v>
      </c>
      <c r="J1075" t="s">
        <v>22</v>
      </c>
      <c r="K1075" t="s">
        <v>22</v>
      </c>
      <c r="L1075" t="s">
        <v>22</v>
      </c>
      <c r="M1075">
        <v>5.9</v>
      </c>
      <c r="N1075" t="s">
        <v>29</v>
      </c>
      <c r="O1075">
        <v>72</v>
      </c>
      <c r="P1075">
        <v>500</v>
      </c>
      <c r="Q1075">
        <v>21</v>
      </c>
      <c r="R1075">
        <v>35</v>
      </c>
      <c r="S1075">
        <v>0.92</v>
      </c>
    </row>
    <row r="1076" spans="1:19" x14ac:dyDescent="0.25">
      <c r="A1076">
        <v>1033</v>
      </c>
      <c r="B1076">
        <v>6</v>
      </c>
      <c r="C1076" t="s">
        <v>44</v>
      </c>
      <c r="D1076">
        <v>6.58</v>
      </c>
      <c r="E1076">
        <v>2.3000000000000001E-4</v>
      </c>
      <c r="F1076">
        <v>536</v>
      </c>
      <c r="G1076">
        <v>150</v>
      </c>
      <c r="H1076" t="s">
        <v>24</v>
      </c>
      <c r="I1076" t="s">
        <v>22</v>
      </c>
      <c r="J1076" t="s">
        <v>22</v>
      </c>
      <c r="K1076" t="s">
        <v>22</v>
      </c>
      <c r="L1076" t="s">
        <v>22</v>
      </c>
      <c r="M1076">
        <v>5.9</v>
      </c>
      <c r="N1076" t="s">
        <v>43</v>
      </c>
      <c r="O1076">
        <v>72</v>
      </c>
      <c r="P1076">
        <v>500</v>
      </c>
      <c r="Q1076">
        <v>21</v>
      </c>
      <c r="R1076">
        <v>35</v>
      </c>
      <c r="S1076">
        <v>0.87</v>
      </c>
    </row>
    <row r="1077" spans="1:19" x14ac:dyDescent="0.25">
      <c r="A1077">
        <v>1033</v>
      </c>
      <c r="B1077">
        <v>6</v>
      </c>
      <c r="C1077" t="s">
        <v>28</v>
      </c>
      <c r="D1077">
        <v>4.57</v>
      </c>
      <c r="E1077">
        <v>1.1000000000000001</v>
      </c>
      <c r="F1077">
        <v>340</v>
      </c>
      <c r="G1077">
        <v>101</v>
      </c>
      <c r="H1077" t="s">
        <v>24</v>
      </c>
      <c r="I1077" t="s">
        <v>22</v>
      </c>
      <c r="J1077" t="s">
        <v>22</v>
      </c>
      <c r="K1077" t="s">
        <v>22</v>
      </c>
      <c r="L1077" t="s">
        <v>22</v>
      </c>
      <c r="M1077">
        <v>5.9</v>
      </c>
      <c r="N1077" t="s">
        <v>29</v>
      </c>
      <c r="O1077">
        <v>72</v>
      </c>
      <c r="P1077">
        <v>500</v>
      </c>
      <c r="Q1077">
        <v>21</v>
      </c>
      <c r="R1077">
        <v>35</v>
      </c>
      <c r="S1077">
        <v>0.83599999999999997</v>
      </c>
    </row>
    <row r="1078" spans="1:19" x14ac:dyDescent="0.25">
      <c r="A1078">
        <v>1033</v>
      </c>
      <c r="B1078">
        <v>6</v>
      </c>
      <c r="C1078" t="s">
        <v>35</v>
      </c>
      <c r="D1078">
        <v>5.18</v>
      </c>
      <c r="E1078">
        <v>0.13200000000000001</v>
      </c>
      <c r="F1078">
        <v>393</v>
      </c>
      <c r="G1078">
        <v>150</v>
      </c>
      <c r="H1078" t="s">
        <v>24</v>
      </c>
      <c r="I1078" t="s">
        <v>22</v>
      </c>
      <c r="J1078" t="s">
        <v>22</v>
      </c>
      <c r="K1078" t="s">
        <v>22</v>
      </c>
      <c r="L1078" t="s">
        <v>22</v>
      </c>
      <c r="M1078">
        <v>5.9</v>
      </c>
      <c r="N1078" t="s">
        <v>32</v>
      </c>
      <c r="O1078">
        <v>72</v>
      </c>
      <c r="P1078">
        <v>500</v>
      </c>
      <c r="Q1078">
        <v>21</v>
      </c>
      <c r="R1078">
        <v>35</v>
      </c>
      <c r="S1078">
        <v>0.88900000000000001</v>
      </c>
    </row>
    <row r="1079" spans="1:19" x14ac:dyDescent="0.25">
      <c r="A1079">
        <v>1033</v>
      </c>
      <c r="B1079">
        <v>7</v>
      </c>
      <c r="C1079">
        <v>4</v>
      </c>
      <c r="D1079">
        <v>4</v>
      </c>
      <c r="E1079">
        <v>1.93</v>
      </c>
      <c r="F1079">
        <v>300</v>
      </c>
      <c r="G1079">
        <v>92</v>
      </c>
      <c r="H1079" t="s">
        <v>24</v>
      </c>
      <c r="I1079" t="s">
        <v>22</v>
      </c>
      <c r="J1079" t="s">
        <v>22</v>
      </c>
      <c r="K1079" t="s">
        <v>22</v>
      </c>
      <c r="L1079" t="s">
        <v>22</v>
      </c>
      <c r="M1079">
        <v>5.9</v>
      </c>
      <c r="N1079" t="s">
        <v>29</v>
      </c>
      <c r="O1079">
        <v>72</v>
      </c>
      <c r="P1079">
        <v>500</v>
      </c>
      <c r="Q1079">
        <v>21</v>
      </c>
      <c r="R1079">
        <v>35</v>
      </c>
      <c r="S1079">
        <v>0.89200000000000002</v>
      </c>
    </row>
    <row r="1080" spans="1:19" x14ac:dyDescent="0.25">
      <c r="A1080">
        <v>1033</v>
      </c>
      <c r="B1080">
        <v>7</v>
      </c>
      <c r="C1080" t="s">
        <v>30</v>
      </c>
      <c r="D1080">
        <v>4.88</v>
      </c>
      <c r="E1080">
        <v>7.2999999999999995E-2</v>
      </c>
      <c r="F1080">
        <v>340</v>
      </c>
      <c r="G1080">
        <v>216</v>
      </c>
      <c r="H1080" t="s">
        <v>24</v>
      </c>
      <c r="I1080" t="s">
        <v>22</v>
      </c>
      <c r="J1080" t="s">
        <v>22</v>
      </c>
      <c r="K1080" t="s">
        <v>22</v>
      </c>
      <c r="L1080" t="s">
        <v>22</v>
      </c>
      <c r="M1080">
        <v>5.9</v>
      </c>
      <c r="N1080" t="s">
        <v>29</v>
      </c>
      <c r="O1080">
        <v>72</v>
      </c>
      <c r="P1080">
        <v>500</v>
      </c>
      <c r="Q1080">
        <v>21</v>
      </c>
      <c r="R1080">
        <v>35</v>
      </c>
      <c r="S1080">
        <v>0.91400000000000003</v>
      </c>
    </row>
    <row r="1081" spans="1:19" x14ac:dyDescent="0.25">
      <c r="A1081">
        <v>1033</v>
      </c>
      <c r="B1081">
        <v>7</v>
      </c>
      <c r="C1081" t="s">
        <v>36</v>
      </c>
      <c r="D1081">
        <v>5.91</v>
      </c>
      <c r="E1081">
        <v>1.0999999999999999E-2</v>
      </c>
      <c r="F1081">
        <v>375</v>
      </c>
      <c r="G1081">
        <v>150</v>
      </c>
      <c r="H1081" t="s">
        <v>24</v>
      </c>
      <c r="I1081" t="s">
        <v>22</v>
      </c>
      <c r="J1081" t="s">
        <v>22</v>
      </c>
      <c r="K1081" t="s">
        <v>22</v>
      </c>
      <c r="L1081" t="s">
        <v>22</v>
      </c>
      <c r="M1081">
        <v>5.9</v>
      </c>
      <c r="N1081" t="s">
        <v>32</v>
      </c>
      <c r="O1081">
        <v>72</v>
      </c>
      <c r="P1081">
        <v>500</v>
      </c>
      <c r="Q1081">
        <v>21</v>
      </c>
      <c r="R1081">
        <v>35</v>
      </c>
      <c r="S1081">
        <v>0.90300000000000002</v>
      </c>
    </row>
    <row r="1082" spans="1:19" x14ac:dyDescent="0.25">
      <c r="A1082">
        <v>1033</v>
      </c>
      <c r="B1082">
        <v>7</v>
      </c>
      <c r="C1082" t="s">
        <v>40</v>
      </c>
      <c r="D1082">
        <v>6.04</v>
      </c>
      <c r="E1082">
        <v>3.8E-3</v>
      </c>
      <c r="F1082">
        <v>495</v>
      </c>
      <c r="G1082">
        <v>179</v>
      </c>
      <c r="H1082" t="s">
        <v>24</v>
      </c>
      <c r="I1082" t="s">
        <v>22</v>
      </c>
      <c r="J1082" t="s">
        <v>22</v>
      </c>
      <c r="K1082" t="s">
        <v>22</v>
      </c>
      <c r="L1082" t="s">
        <v>22</v>
      </c>
      <c r="M1082">
        <v>5.9</v>
      </c>
      <c r="N1082" t="s">
        <v>38</v>
      </c>
      <c r="O1082">
        <v>72</v>
      </c>
      <c r="P1082">
        <v>500</v>
      </c>
      <c r="Q1082">
        <v>21</v>
      </c>
      <c r="R1082">
        <v>35</v>
      </c>
      <c r="S1082">
        <v>0.82</v>
      </c>
    </row>
    <row r="1083" spans="1:19" x14ac:dyDescent="0.25">
      <c r="A1083">
        <v>1033</v>
      </c>
      <c r="B1083">
        <v>7</v>
      </c>
      <c r="C1083" t="s">
        <v>37</v>
      </c>
      <c r="D1083">
        <v>6.04</v>
      </c>
      <c r="E1083">
        <v>1.5E-3</v>
      </c>
      <c r="F1083">
        <v>480</v>
      </c>
      <c r="G1083">
        <v>169</v>
      </c>
      <c r="H1083" t="s">
        <v>24</v>
      </c>
      <c r="I1083" t="s">
        <v>22</v>
      </c>
      <c r="J1083" t="s">
        <v>22</v>
      </c>
      <c r="K1083" t="s">
        <v>22</v>
      </c>
      <c r="L1083" t="s">
        <v>22</v>
      </c>
      <c r="M1083">
        <v>5.9</v>
      </c>
      <c r="N1083" t="s">
        <v>38</v>
      </c>
      <c r="O1083">
        <v>72</v>
      </c>
      <c r="P1083">
        <v>500</v>
      </c>
      <c r="Q1083">
        <v>21</v>
      </c>
      <c r="R1083">
        <v>35</v>
      </c>
      <c r="S1083">
        <v>0.78500000000000003</v>
      </c>
    </row>
    <row r="1084" spans="1:19" x14ac:dyDescent="0.25">
      <c r="A1084">
        <v>1033</v>
      </c>
      <c r="B1084">
        <v>7</v>
      </c>
      <c r="C1084" t="s">
        <v>39</v>
      </c>
      <c r="D1084">
        <v>6.34</v>
      </c>
      <c r="E1084">
        <v>8.0000000000000004E-4</v>
      </c>
      <c r="F1084">
        <v>400</v>
      </c>
      <c r="G1084">
        <v>163</v>
      </c>
      <c r="H1084" t="s">
        <v>24</v>
      </c>
      <c r="I1084" t="s">
        <v>22</v>
      </c>
      <c r="J1084" t="s">
        <v>22</v>
      </c>
      <c r="K1084" t="s">
        <v>22</v>
      </c>
      <c r="L1084" t="s">
        <v>22</v>
      </c>
      <c r="M1084">
        <v>5.9</v>
      </c>
      <c r="N1084" t="s">
        <v>38</v>
      </c>
      <c r="O1084">
        <v>72</v>
      </c>
      <c r="P1084">
        <v>500</v>
      </c>
      <c r="Q1084">
        <v>21</v>
      </c>
      <c r="R1084">
        <v>35</v>
      </c>
      <c r="S1084">
        <v>0.755</v>
      </c>
    </row>
    <row r="1085" spans="1:19" x14ac:dyDescent="0.25">
      <c r="A1085">
        <v>1033</v>
      </c>
      <c r="B1085">
        <v>7</v>
      </c>
      <c r="C1085" t="s">
        <v>42</v>
      </c>
      <c r="D1085">
        <v>6.5</v>
      </c>
      <c r="E1085">
        <v>2.5999999999999998E-4</v>
      </c>
      <c r="F1085">
        <v>400</v>
      </c>
      <c r="G1085">
        <v>273</v>
      </c>
      <c r="H1085" t="s">
        <v>24</v>
      </c>
      <c r="I1085" t="s">
        <v>22</v>
      </c>
      <c r="J1085" t="s">
        <v>22</v>
      </c>
      <c r="K1085" t="s">
        <v>22</v>
      </c>
      <c r="L1085" t="s">
        <v>22</v>
      </c>
      <c r="M1085">
        <v>5.9</v>
      </c>
      <c r="N1085" t="s">
        <v>43</v>
      </c>
      <c r="O1085">
        <v>72</v>
      </c>
      <c r="P1085">
        <v>500</v>
      </c>
      <c r="Q1085">
        <v>21</v>
      </c>
      <c r="R1085">
        <v>35</v>
      </c>
      <c r="S1085">
        <v>0.79300000000000004</v>
      </c>
    </row>
    <row r="1086" spans="1:19" x14ac:dyDescent="0.25">
      <c r="A1086">
        <v>1033</v>
      </c>
      <c r="B1086">
        <v>7</v>
      </c>
      <c r="C1086" t="s">
        <v>33</v>
      </c>
      <c r="D1086">
        <v>5.61</v>
      </c>
      <c r="E1086">
        <v>2E-3</v>
      </c>
      <c r="F1086">
        <v>350</v>
      </c>
      <c r="G1086">
        <v>255</v>
      </c>
      <c r="H1086" t="s">
        <v>24</v>
      </c>
      <c r="I1086" t="s">
        <v>22</v>
      </c>
      <c r="J1086" t="s">
        <v>22</v>
      </c>
      <c r="K1086" t="s">
        <v>22</v>
      </c>
      <c r="L1086" t="s">
        <v>22</v>
      </c>
      <c r="M1086">
        <v>5.9</v>
      </c>
      <c r="N1086" t="s">
        <v>32</v>
      </c>
      <c r="O1086">
        <v>72</v>
      </c>
      <c r="P1086">
        <v>500</v>
      </c>
      <c r="Q1086">
        <v>21</v>
      </c>
      <c r="R1086">
        <v>35</v>
      </c>
      <c r="S1086">
        <v>0.80800000000000005</v>
      </c>
    </row>
    <row r="1087" spans="1:19" x14ac:dyDescent="0.25">
      <c r="A1087">
        <v>1033</v>
      </c>
      <c r="B1087">
        <v>7</v>
      </c>
      <c r="C1087" t="s">
        <v>41</v>
      </c>
      <c r="D1087">
        <v>6.75</v>
      </c>
      <c r="E1087">
        <v>2.9999999999999997E-4</v>
      </c>
      <c r="F1087">
        <v>524</v>
      </c>
      <c r="G1087">
        <v>262</v>
      </c>
      <c r="H1087" t="s">
        <v>24</v>
      </c>
      <c r="I1087" t="s">
        <v>22</v>
      </c>
      <c r="J1087" t="s">
        <v>22</v>
      </c>
      <c r="K1087" t="s">
        <v>22</v>
      </c>
      <c r="L1087" t="s">
        <v>22</v>
      </c>
      <c r="M1087">
        <v>5.9</v>
      </c>
      <c r="N1087" t="s">
        <v>43</v>
      </c>
      <c r="O1087">
        <v>72</v>
      </c>
      <c r="P1087">
        <v>500</v>
      </c>
      <c r="Q1087">
        <v>21</v>
      </c>
      <c r="R1087">
        <v>35</v>
      </c>
      <c r="S1087">
        <v>0.77500000000000002</v>
      </c>
    </row>
    <row r="1088" spans="1:19" x14ac:dyDescent="0.25">
      <c r="A1088">
        <v>1033</v>
      </c>
      <c r="B1088">
        <v>7</v>
      </c>
      <c r="C1088" t="s">
        <v>34</v>
      </c>
      <c r="D1088">
        <v>4.18</v>
      </c>
      <c r="E1088">
        <v>1.68</v>
      </c>
      <c r="F1088">
        <v>295</v>
      </c>
      <c r="G1088">
        <v>116</v>
      </c>
      <c r="H1088" t="s">
        <v>24</v>
      </c>
      <c r="I1088" t="s">
        <v>22</v>
      </c>
      <c r="J1088" t="s">
        <v>22</v>
      </c>
      <c r="K1088" t="s">
        <v>22</v>
      </c>
      <c r="L1088" t="s">
        <v>22</v>
      </c>
      <c r="M1088">
        <v>5.9</v>
      </c>
      <c r="N1088" t="s">
        <v>29</v>
      </c>
      <c r="O1088">
        <v>72</v>
      </c>
      <c r="P1088">
        <v>500</v>
      </c>
      <c r="Q1088">
        <v>21</v>
      </c>
      <c r="R1088">
        <v>35</v>
      </c>
      <c r="S1088">
        <v>0.91800000000000004</v>
      </c>
    </row>
    <row r="1089" spans="1:19" x14ac:dyDescent="0.25">
      <c r="A1089">
        <v>1033</v>
      </c>
      <c r="B1089">
        <v>7</v>
      </c>
      <c r="C1089" t="s">
        <v>44</v>
      </c>
      <c r="D1089">
        <v>6.58</v>
      </c>
      <c r="E1089">
        <v>2.3000000000000001E-4</v>
      </c>
      <c r="F1089">
        <v>536</v>
      </c>
      <c r="G1089">
        <v>150</v>
      </c>
      <c r="H1089" t="s">
        <v>24</v>
      </c>
      <c r="I1089" t="s">
        <v>22</v>
      </c>
      <c r="J1089" t="s">
        <v>22</v>
      </c>
      <c r="K1089" t="s">
        <v>22</v>
      </c>
      <c r="L1089" t="s">
        <v>22</v>
      </c>
      <c r="M1089">
        <v>5.9</v>
      </c>
      <c r="N1089" t="s">
        <v>43</v>
      </c>
      <c r="O1089">
        <v>72</v>
      </c>
      <c r="P1089">
        <v>500</v>
      </c>
      <c r="Q1089">
        <v>21</v>
      </c>
      <c r="R1089">
        <v>35</v>
      </c>
      <c r="S1089">
        <v>0.84399999999999997</v>
      </c>
    </row>
    <row r="1090" spans="1:19" x14ac:dyDescent="0.25">
      <c r="A1090">
        <v>1033</v>
      </c>
      <c r="B1090">
        <v>7</v>
      </c>
      <c r="C1090" t="s">
        <v>28</v>
      </c>
      <c r="D1090">
        <v>4.57</v>
      </c>
      <c r="E1090">
        <v>1.1000000000000001</v>
      </c>
      <c r="F1090">
        <v>340</v>
      </c>
      <c r="G1090">
        <v>101</v>
      </c>
      <c r="H1090" t="s">
        <v>24</v>
      </c>
      <c r="I1090" t="s">
        <v>22</v>
      </c>
      <c r="J1090" t="s">
        <v>22</v>
      </c>
      <c r="K1090" t="s">
        <v>22</v>
      </c>
      <c r="L1090" t="s">
        <v>22</v>
      </c>
      <c r="M1090">
        <v>5.9</v>
      </c>
      <c r="N1090" t="s">
        <v>29</v>
      </c>
      <c r="O1090">
        <v>72</v>
      </c>
      <c r="P1090">
        <v>500</v>
      </c>
      <c r="Q1090">
        <v>21</v>
      </c>
      <c r="R1090">
        <v>35</v>
      </c>
      <c r="S1090">
        <v>0.83099999999999996</v>
      </c>
    </row>
    <row r="1091" spans="1:19" x14ac:dyDescent="0.25">
      <c r="A1091">
        <v>1033</v>
      </c>
      <c r="B1091">
        <v>7</v>
      </c>
      <c r="C1091" t="s">
        <v>35</v>
      </c>
      <c r="D1091">
        <v>5.18</v>
      </c>
      <c r="E1091">
        <v>0.13200000000000001</v>
      </c>
      <c r="F1091">
        <v>393</v>
      </c>
      <c r="G1091">
        <v>150</v>
      </c>
      <c r="H1091" t="s">
        <v>24</v>
      </c>
      <c r="I1091" t="s">
        <v>22</v>
      </c>
      <c r="J1091" t="s">
        <v>22</v>
      </c>
      <c r="K1091" t="s">
        <v>22</v>
      </c>
      <c r="L1091" t="s">
        <v>22</v>
      </c>
      <c r="M1091">
        <v>5.9</v>
      </c>
      <c r="N1091" t="s">
        <v>32</v>
      </c>
      <c r="O1091">
        <v>72</v>
      </c>
      <c r="P1091">
        <v>500</v>
      </c>
      <c r="Q1091">
        <v>21</v>
      </c>
      <c r="R1091">
        <v>35</v>
      </c>
      <c r="S1091">
        <v>0.85899999999999999</v>
      </c>
    </row>
    <row r="1092" spans="1:19" x14ac:dyDescent="0.25">
      <c r="A1092">
        <v>1033</v>
      </c>
      <c r="B1092">
        <v>8</v>
      </c>
      <c r="C1092">
        <v>4</v>
      </c>
      <c r="D1092">
        <v>4</v>
      </c>
      <c r="E1092">
        <v>1.93</v>
      </c>
      <c r="F1092">
        <v>300</v>
      </c>
      <c r="G1092">
        <v>92</v>
      </c>
      <c r="H1092" t="s">
        <v>24</v>
      </c>
      <c r="I1092" t="s">
        <v>22</v>
      </c>
      <c r="J1092" t="s">
        <v>22</v>
      </c>
      <c r="K1092" t="s">
        <v>22</v>
      </c>
      <c r="L1092" t="s">
        <v>22</v>
      </c>
      <c r="M1092">
        <v>5.9</v>
      </c>
      <c r="N1092" t="s">
        <v>29</v>
      </c>
      <c r="O1092">
        <v>72</v>
      </c>
      <c r="P1092">
        <v>500</v>
      </c>
      <c r="Q1092">
        <v>21</v>
      </c>
      <c r="R1092">
        <v>35</v>
      </c>
      <c r="S1092">
        <v>0.875</v>
      </c>
    </row>
    <row r="1093" spans="1:19" x14ac:dyDescent="0.25">
      <c r="A1093">
        <v>1033</v>
      </c>
      <c r="B1093">
        <v>8</v>
      </c>
      <c r="C1093" t="s">
        <v>30</v>
      </c>
      <c r="D1093">
        <v>4.88</v>
      </c>
      <c r="E1093">
        <v>7.2999999999999995E-2</v>
      </c>
      <c r="F1093">
        <v>340</v>
      </c>
      <c r="G1093">
        <v>216</v>
      </c>
      <c r="H1093" t="s">
        <v>24</v>
      </c>
      <c r="I1093" t="s">
        <v>22</v>
      </c>
      <c r="J1093" t="s">
        <v>22</v>
      </c>
      <c r="K1093" t="s">
        <v>22</v>
      </c>
      <c r="L1093" t="s">
        <v>22</v>
      </c>
      <c r="M1093">
        <v>5.9</v>
      </c>
      <c r="N1093" t="s">
        <v>29</v>
      </c>
      <c r="O1093">
        <v>72</v>
      </c>
      <c r="P1093">
        <v>500</v>
      </c>
      <c r="Q1093">
        <v>21</v>
      </c>
      <c r="R1093">
        <v>35</v>
      </c>
      <c r="S1093">
        <v>0.92900000000000005</v>
      </c>
    </row>
    <row r="1094" spans="1:19" x14ac:dyDescent="0.25">
      <c r="A1094">
        <v>1033</v>
      </c>
      <c r="B1094">
        <v>8</v>
      </c>
      <c r="C1094" t="s">
        <v>36</v>
      </c>
      <c r="D1094">
        <v>5.91</v>
      </c>
      <c r="E1094">
        <v>1.0999999999999999E-2</v>
      </c>
      <c r="F1094">
        <v>375</v>
      </c>
      <c r="G1094">
        <v>150</v>
      </c>
      <c r="H1094" t="s">
        <v>24</v>
      </c>
      <c r="I1094" t="s">
        <v>22</v>
      </c>
      <c r="J1094" t="s">
        <v>22</v>
      </c>
      <c r="K1094" t="s">
        <v>22</v>
      </c>
      <c r="L1094" t="s">
        <v>22</v>
      </c>
      <c r="M1094">
        <v>5.9</v>
      </c>
      <c r="N1094" t="s">
        <v>32</v>
      </c>
      <c r="O1094">
        <v>72</v>
      </c>
      <c r="P1094">
        <v>500</v>
      </c>
      <c r="Q1094">
        <v>21</v>
      </c>
      <c r="R1094">
        <v>35</v>
      </c>
      <c r="S1094">
        <v>0.88200000000000001</v>
      </c>
    </row>
    <row r="1095" spans="1:19" x14ac:dyDescent="0.25">
      <c r="A1095">
        <v>1033</v>
      </c>
      <c r="B1095">
        <v>8</v>
      </c>
      <c r="C1095" t="s">
        <v>40</v>
      </c>
      <c r="D1095">
        <v>6.04</v>
      </c>
      <c r="E1095">
        <v>3.8E-3</v>
      </c>
      <c r="F1095">
        <v>495</v>
      </c>
      <c r="G1095">
        <v>179</v>
      </c>
      <c r="H1095" t="s">
        <v>24</v>
      </c>
      <c r="I1095" t="s">
        <v>22</v>
      </c>
      <c r="J1095" t="s">
        <v>22</v>
      </c>
      <c r="K1095" t="s">
        <v>22</v>
      </c>
      <c r="L1095" t="s">
        <v>22</v>
      </c>
      <c r="M1095">
        <v>5.9</v>
      </c>
      <c r="N1095" t="s">
        <v>38</v>
      </c>
      <c r="O1095">
        <v>72</v>
      </c>
      <c r="P1095">
        <v>500</v>
      </c>
      <c r="Q1095">
        <v>21</v>
      </c>
      <c r="R1095">
        <v>35</v>
      </c>
      <c r="S1095">
        <v>0.86199999999999999</v>
      </c>
    </row>
    <row r="1096" spans="1:19" x14ac:dyDescent="0.25">
      <c r="A1096">
        <v>1033</v>
      </c>
      <c r="B1096">
        <v>8</v>
      </c>
      <c r="C1096" t="s">
        <v>37</v>
      </c>
      <c r="D1096">
        <v>6.04</v>
      </c>
      <c r="E1096">
        <v>1.5E-3</v>
      </c>
      <c r="F1096">
        <v>480</v>
      </c>
      <c r="G1096">
        <v>169</v>
      </c>
      <c r="H1096" t="s">
        <v>24</v>
      </c>
      <c r="I1096" t="s">
        <v>22</v>
      </c>
      <c r="J1096" t="s">
        <v>22</v>
      </c>
      <c r="K1096" t="s">
        <v>22</v>
      </c>
      <c r="L1096" t="s">
        <v>22</v>
      </c>
      <c r="M1096">
        <v>5.9</v>
      </c>
      <c r="N1096" t="s">
        <v>38</v>
      </c>
      <c r="O1096">
        <v>72</v>
      </c>
      <c r="P1096">
        <v>500</v>
      </c>
      <c r="Q1096">
        <v>21</v>
      </c>
      <c r="R1096">
        <v>35</v>
      </c>
      <c r="S1096">
        <v>0.83799999999999997</v>
      </c>
    </row>
    <row r="1097" spans="1:19" x14ac:dyDescent="0.25">
      <c r="A1097">
        <v>1033</v>
      </c>
      <c r="B1097">
        <v>8</v>
      </c>
      <c r="C1097" t="s">
        <v>39</v>
      </c>
      <c r="D1097">
        <v>6.34</v>
      </c>
      <c r="E1097">
        <v>8.0000000000000004E-4</v>
      </c>
      <c r="F1097">
        <v>400</v>
      </c>
      <c r="G1097">
        <v>163</v>
      </c>
      <c r="H1097" t="s">
        <v>24</v>
      </c>
      <c r="I1097" t="s">
        <v>22</v>
      </c>
      <c r="J1097" t="s">
        <v>22</v>
      </c>
      <c r="K1097" t="s">
        <v>22</v>
      </c>
      <c r="L1097" t="s">
        <v>22</v>
      </c>
      <c r="M1097">
        <v>5.9</v>
      </c>
      <c r="N1097" t="s">
        <v>38</v>
      </c>
      <c r="O1097">
        <v>72</v>
      </c>
      <c r="P1097">
        <v>500</v>
      </c>
      <c r="Q1097">
        <v>21</v>
      </c>
      <c r="R1097">
        <v>35</v>
      </c>
      <c r="S1097">
        <v>0.81499999999999995</v>
      </c>
    </row>
    <row r="1098" spans="1:19" x14ac:dyDescent="0.25">
      <c r="A1098">
        <v>1033</v>
      </c>
      <c r="B1098">
        <v>8</v>
      </c>
      <c r="C1098" t="s">
        <v>42</v>
      </c>
      <c r="D1098">
        <v>6.5</v>
      </c>
      <c r="E1098">
        <v>2.5999999999999998E-4</v>
      </c>
      <c r="F1098">
        <v>400</v>
      </c>
      <c r="G1098">
        <v>273</v>
      </c>
      <c r="H1098" t="s">
        <v>24</v>
      </c>
      <c r="I1098" t="s">
        <v>22</v>
      </c>
      <c r="J1098" t="s">
        <v>22</v>
      </c>
      <c r="K1098" t="s">
        <v>22</v>
      </c>
      <c r="L1098" t="s">
        <v>22</v>
      </c>
      <c r="M1098">
        <v>5.9</v>
      </c>
      <c r="N1098" t="s">
        <v>43</v>
      </c>
      <c r="O1098">
        <v>72</v>
      </c>
      <c r="P1098">
        <v>500</v>
      </c>
      <c r="Q1098">
        <v>21</v>
      </c>
      <c r="R1098">
        <v>35</v>
      </c>
      <c r="S1098">
        <v>0.76600000000000001</v>
      </c>
    </row>
    <row r="1099" spans="1:19" x14ac:dyDescent="0.25">
      <c r="A1099">
        <v>1033</v>
      </c>
      <c r="B1099">
        <v>8</v>
      </c>
      <c r="C1099" t="s">
        <v>33</v>
      </c>
      <c r="D1099">
        <v>5.61</v>
      </c>
      <c r="E1099">
        <v>2E-3</v>
      </c>
      <c r="F1099">
        <v>350</v>
      </c>
      <c r="G1099">
        <v>255</v>
      </c>
      <c r="H1099" t="s">
        <v>24</v>
      </c>
      <c r="I1099" t="s">
        <v>22</v>
      </c>
      <c r="J1099" t="s">
        <v>22</v>
      </c>
      <c r="K1099" t="s">
        <v>22</v>
      </c>
      <c r="L1099" t="s">
        <v>22</v>
      </c>
      <c r="M1099">
        <v>5.9</v>
      </c>
      <c r="N1099" t="s">
        <v>32</v>
      </c>
      <c r="O1099">
        <v>72</v>
      </c>
      <c r="P1099">
        <v>500</v>
      </c>
      <c r="Q1099">
        <v>21</v>
      </c>
      <c r="R1099">
        <v>35</v>
      </c>
      <c r="S1099">
        <v>0.82599999999999996</v>
      </c>
    </row>
    <row r="1100" spans="1:19" x14ac:dyDescent="0.25">
      <c r="A1100">
        <v>1033</v>
      </c>
      <c r="B1100">
        <v>8</v>
      </c>
      <c r="C1100" t="s">
        <v>41</v>
      </c>
      <c r="D1100">
        <v>6.75</v>
      </c>
      <c r="E1100">
        <v>2.9999999999999997E-4</v>
      </c>
      <c r="F1100">
        <v>524</v>
      </c>
      <c r="G1100">
        <v>262</v>
      </c>
      <c r="H1100" t="s">
        <v>24</v>
      </c>
      <c r="I1100" t="s">
        <v>22</v>
      </c>
      <c r="J1100" t="s">
        <v>22</v>
      </c>
      <c r="K1100" t="s">
        <v>22</v>
      </c>
      <c r="L1100" t="s">
        <v>22</v>
      </c>
      <c r="M1100">
        <v>5.9</v>
      </c>
      <c r="N1100" t="s">
        <v>43</v>
      </c>
      <c r="O1100">
        <v>72</v>
      </c>
      <c r="P1100">
        <v>500</v>
      </c>
      <c r="Q1100">
        <v>21</v>
      </c>
      <c r="R1100">
        <v>35</v>
      </c>
      <c r="S1100">
        <v>0.84</v>
      </c>
    </row>
    <row r="1101" spans="1:19" x14ac:dyDescent="0.25">
      <c r="A1101">
        <v>1033</v>
      </c>
      <c r="B1101">
        <v>8</v>
      </c>
      <c r="C1101" t="s">
        <v>34</v>
      </c>
      <c r="D1101">
        <v>4.18</v>
      </c>
      <c r="E1101">
        <v>1.68</v>
      </c>
      <c r="F1101">
        <v>295</v>
      </c>
      <c r="G1101">
        <v>116</v>
      </c>
      <c r="H1101" t="s">
        <v>24</v>
      </c>
      <c r="I1101" t="s">
        <v>22</v>
      </c>
      <c r="J1101" t="s">
        <v>22</v>
      </c>
      <c r="K1101" t="s">
        <v>22</v>
      </c>
      <c r="L1101" t="s">
        <v>22</v>
      </c>
      <c r="M1101">
        <v>5.9</v>
      </c>
      <c r="N1101" t="s">
        <v>29</v>
      </c>
      <c r="O1101">
        <v>72</v>
      </c>
      <c r="P1101">
        <v>500</v>
      </c>
      <c r="Q1101">
        <v>21</v>
      </c>
      <c r="R1101">
        <v>35</v>
      </c>
      <c r="S1101">
        <v>0.91800000000000004</v>
      </c>
    </row>
    <row r="1102" spans="1:19" x14ac:dyDescent="0.25">
      <c r="A1102">
        <v>1033</v>
      </c>
      <c r="B1102">
        <v>8</v>
      </c>
      <c r="C1102" t="s">
        <v>44</v>
      </c>
      <c r="D1102">
        <v>6.58</v>
      </c>
      <c r="E1102">
        <v>2.3000000000000001E-4</v>
      </c>
      <c r="F1102">
        <v>536</v>
      </c>
      <c r="G1102">
        <v>150</v>
      </c>
      <c r="H1102" t="s">
        <v>24</v>
      </c>
      <c r="I1102" t="s">
        <v>22</v>
      </c>
      <c r="J1102" t="s">
        <v>22</v>
      </c>
      <c r="K1102" t="s">
        <v>22</v>
      </c>
      <c r="L1102" t="s">
        <v>22</v>
      </c>
      <c r="M1102">
        <v>5.9</v>
      </c>
      <c r="N1102" t="s">
        <v>43</v>
      </c>
      <c r="O1102">
        <v>72</v>
      </c>
      <c r="P1102">
        <v>500</v>
      </c>
      <c r="Q1102">
        <v>21</v>
      </c>
      <c r="R1102">
        <v>35</v>
      </c>
      <c r="S1102">
        <v>0.83299999999999996</v>
      </c>
    </row>
    <row r="1103" spans="1:19" x14ac:dyDescent="0.25">
      <c r="A1103">
        <v>1033</v>
      </c>
      <c r="B1103">
        <v>8</v>
      </c>
      <c r="C1103" t="s">
        <v>28</v>
      </c>
      <c r="D1103">
        <v>4.57</v>
      </c>
      <c r="E1103">
        <v>1.1000000000000001</v>
      </c>
      <c r="F1103">
        <v>340</v>
      </c>
      <c r="G1103">
        <v>101</v>
      </c>
      <c r="H1103" t="s">
        <v>24</v>
      </c>
      <c r="I1103" t="s">
        <v>22</v>
      </c>
      <c r="J1103" t="s">
        <v>22</v>
      </c>
      <c r="K1103" t="s">
        <v>22</v>
      </c>
      <c r="L1103" t="s">
        <v>22</v>
      </c>
      <c r="M1103">
        <v>5.9</v>
      </c>
      <c r="N1103" t="s">
        <v>29</v>
      </c>
      <c r="O1103">
        <v>72</v>
      </c>
      <c r="P1103">
        <v>500</v>
      </c>
      <c r="Q1103">
        <v>21</v>
      </c>
      <c r="R1103">
        <v>35</v>
      </c>
      <c r="S1103">
        <v>0.83799999999999997</v>
      </c>
    </row>
    <row r="1104" spans="1:19" x14ac:dyDescent="0.25">
      <c r="A1104">
        <v>1033</v>
      </c>
      <c r="B1104">
        <v>8</v>
      </c>
      <c r="C1104" t="s">
        <v>35</v>
      </c>
      <c r="D1104">
        <v>5.18</v>
      </c>
      <c r="E1104">
        <v>0.13200000000000001</v>
      </c>
      <c r="F1104">
        <v>393</v>
      </c>
      <c r="G1104">
        <v>150</v>
      </c>
      <c r="H1104" t="s">
        <v>24</v>
      </c>
      <c r="I1104" t="s">
        <v>22</v>
      </c>
      <c r="J1104" t="s">
        <v>22</v>
      </c>
      <c r="K1104" t="s">
        <v>22</v>
      </c>
      <c r="L1104" t="s">
        <v>22</v>
      </c>
      <c r="M1104">
        <v>5.9</v>
      </c>
      <c r="N1104" t="s">
        <v>32</v>
      </c>
      <c r="O1104">
        <v>72</v>
      </c>
      <c r="P1104">
        <v>500</v>
      </c>
      <c r="Q1104">
        <v>21</v>
      </c>
      <c r="R1104">
        <v>35</v>
      </c>
      <c r="S1104">
        <v>0.873</v>
      </c>
    </row>
    <row r="1105" spans="1:19" x14ac:dyDescent="0.25">
      <c r="A1105">
        <v>1034</v>
      </c>
      <c r="B1105">
        <v>1</v>
      </c>
      <c r="C1105" t="s">
        <v>19</v>
      </c>
      <c r="D1105">
        <v>4.95</v>
      </c>
      <c r="E1105">
        <v>31.7</v>
      </c>
      <c r="F1105">
        <v>170</v>
      </c>
      <c r="G1105">
        <v>387.6</v>
      </c>
      <c r="H1105" t="s">
        <v>20</v>
      </c>
      <c r="I1105" t="s">
        <v>22</v>
      </c>
      <c r="J1105">
        <v>1630</v>
      </c>
      <c r="K1105" t="s">
        <v>22</v>
      </c>
      <c r="L1105">
        <v>66.900000000000006</v>
      </c>
      <c r="M1105">
        <v>7.34</v>
      </c>
      <c r="N1105" t="s">
        <v>21</v>
      </c>
      <c r="O1105">
        <v>26.7</v>
      </c>
      <c r="P1105">
        <v>36.1</v>
      </c>
      <c r="Q1105">
        <v>28</v>
      </c>
      <c r="R1105">
        <v>5</v>
      </c>
      <c r="S1105">
        <v>5.6000000000000001E-2</v>
      </c>
    </row>
    <row r="1106" spans="1:19" x14ac:dyDescent="0.25">
      <c r="A1106">
        <v>1034</v>
      </c>
      <c r="B1106">
        <v>1</v>
      </c>
      <c r="C1106" t="s">
        <v>19</v>
      </c>
      <c r="D1106">
        <v>4.95</v>
      </c>
      <c r="E1106">
        <v>31.7</v>
      </c>
      <c r="F1106">
        <v>170</v>
      </c>
      <c r="G1106">
        <v>387.6</v>
      </c>
      <c r="H1106" t="s">
        <v>20</v>
      </c>
      <c r="I1106" t="s">
        <v>22</v>
      </c>
      <c r="J1106">
        <v>1630</v>
      </c>
      <c r="K1106" t="s">
        <v>22</v>
      </c>
      <c r="L1106">
        <f>L1105</f>
        <v>66.900000000000006</v>
      </c>
      <c r="M1106">
        <v>7.34</v>
      </c>
      <c r="N1106" t="s">
        <v>21</v>
      </c>
      <c r="O1106">
        <v>26.7</v>
      </c>
      <c r="P1106">
        <v>36.1</v>
      </c>
      <c r="Q1106">
        <v>28</v>
      </c>
      <c r="R1106">
        <v>15</v>
      </c>
      <c r="S1106">
        <v>0.11</v>
      </c>
    </row>
    <row r="1107" spans="1:19" x14ac:dyDescent="0.25">
      <c r="A1107">
        <v>1034</v>
      </c>
      <c r="B1107">
        <v>1</v>
      </c>
      <c r="C1107" t="s">
        <v>19</v>
      </c>
      <c r="D1107">
        <v>4.95</v>
      </c>
      <c r="E1107">
        <v>31.7</v>
      </c>
      <c r="F1107">
        <v>170</v>
      </c>
      <c r="G1107">
        <v>387.6</v>
      </c>
      <c r="H1107" t="s">
        <v>20</v>
      </c>
      <c r="I1107" t="s">
        <v>22</v>
      </c>
      <c r="J1107">
        <v>1630</v>
      </c>
      <c r="K1107" t="s">
        <v>22</v>
      </c>
      <c r="L1107">
        <v>66.900000000000006</v>
      </c>
      <c r="M1107">
        <v>7.34</v>
      </c>
      <c r="N1107" t="s">
        <v>21</v>
      </c>
      <c r="O1107">
        <v>26.7</v>
      </c>
      <c r="P1107">
        <v>36.1</v>
      </c>
      <c r="Q1107">
        <v>28</v>
      </c>
      <c r="R1107">
        <v>30</v>
      </c>
      <c r="S1107">
        <v>0.2011</v>
      </c>
    </row>
    <row r="1108" spans="1:19" x14ac:dyDescent="0.25">
      <c r="A1108">
        <v>1034</v>
      </c>
      <c r="B1108">
        <v>1</v>
      </c>
      <c r="C1108" t="s">
        <v>19</v>
      </c>
      <c r="D1108">
        <v>4.95</v>
      </c>
      <c r="E1108">
        <v>31.7</v>
      </c>
      <c r="F1108">
        <v>170</v>
      </c>
      <c r="G1108">
        <v>387.6</v>
      </c>
      <c r="H1108" t="s">
        <v>20</v>
      </c>
      <c r="I1108" t="s">
        <v>22</v>
      </c>
      <c r="J1108">
        <v>1630</v>
      </c>
      <c r="K1108" t="s">
        <v>22</v>
      </c>
      <c r="L1108">
        <v>66.900000000000006</v>
      </c>
      <c r="M1108">
        <v>7.34</v>
      </c>
      <c r="N1108" t="s">
        <v>21</v>
      </c>
      <c r="O1108">
        <v>26.7</v>
      </c>
      <c r="P1108">
        <v>36.1</v>
      </c>
      <c r="Q1108">
        <v>28</v>
      </c>
      <c r="R1108">
        <v>55</v>
      </c>
      <c r="S1108">
        <v>0.19470000000000001</v>
      </c>
    </row>
    <row r="1109" spans="1:19" x14ac:dyDescent="0.25">
      <c r="A1109">
        <v>1034</v>
      </c>
      <c r="B1109">
        <v>1</v>
      </c>
      <c r="C1109" t="s">
        <v>19</v>
      </c>
      <c r="D1109">
        <v>4.95</v>
      </c>
      <c r="E1109">
        <v>31.7</v>
      </c>
      <c r="F1109">
        <v>170</v>
      </c>
      <c r="G1109">
        <v>387.6</v>
      </c>
      <c r="H1109" t="s">
        <v>20</v>
      </c>
      <c r="I1109" t="s">
        <v>22</v>
      </c>
      <c r="J1109">
        <v>1630</v>
      </c>
      <c r="K1109" t="s">
        <v>22</v>
      </c>
      <c r="L1109">
        <v>66.900000000000006</v>
      </c>
      <c r="M1109">
        <v>7.34</v>
      </c>
      <c r="N1109" t="s">
        <v>21</v>
      </c>
      <c r="O1109">
        <v>26.7</v>
      </c>
      <c r="P1109">
        <v>36.1</v>
      </c>
      <c r="Q1109">
        <v>28</v>
      </c>
      <c r="R1109">
        <v>90</v>
      </c>
      <c r="S1109">
        <v>0.24399999999999999</v>
      </c>
    </row>
    <row r="1110" spans="1:19" x14ac:dyDescent="0.25">
      <c r="A1110">
        <v>1034</v>
      </c>
      <c r="B1110">
        <v>2</v>
      </c>
      <c r="C1110" t="s">
        <v>19</v>
      </c>
      <c r="D1110">
        <v>4.95</v>
      </c>
      <c r="E1110">
        <v>31.7</v>
      </c>
      <c r="F1110">
        <v>170</v>
      </c>
      <c r="G1110">
        <v>387.6</v>
      </c>
      <c r="H1110" t="s">
        <v>20</v>
      </c>
      <c r="I1110" t="s">
        <v>22</v>
      </c>
      <c r="J1110">
        <v>8490</v>
      </c>
      <c r="K1110" t="s">
        <v>22</v>
      </c>
      <c r="L1110">
        <v>66.900000000000006</v>
      </c>
      <c r="M1110">
        <v>7.34</v>
      </c>
      <c r="N1110" t="s">
        <v>21</v>
      </c>
      <c r="O1110">
        <v>26.7</v>
      </c>
      <c r="P1110">
        <v>36.1</v>
      </c>
      <c r="Q1110">
        <v>28</v>
      </c>
      <c r="R1110">
        <v>5</v>
      </c>
      <c r="S1110">
        <v>8.2799999999999999E-2</v>
      </c>
    </row>
    <row r="1111" spans="1:19" x14ac:dyDescent="0.25">
      <c r="A1111">
        <v>1034</v>
      </c>
      <c r="B1111">
        <v>2</v>
      </c>
      <c r="C1111" t="s">
        <v>19</v>
      </c>
      <c r="D1111">
        <v>4.95</v>
      </c>
      <c r="E1111">
        <v>31.7</v>
      </c>
      <c r="F1111">
        <v>170</v>
      </c>
      <c r="G1111">
        <v>387.6</v>
      </c>
      <c r="H1111" t="s">
        <v>20</v>
      </c>
      <c r="I1111" t="s">
        <v>22</v>
      </c>
      <c r="J1111">
        <v>8490</v>
      </c>
      <c r="K1111" t="s">
        <v>22</v>
      </c>
      <c r="L1111">
        <v>66.900000000000006</v>
      </c>
      <c r="M1111">
        <v>7.34</v>
      </c>
      <c r="N1111" t="s">
        <v>21</v>
      </c>
      <c r="O1111">
        <v>26.7</v>
      </c>
      <c r="P1111">
        <v>36.1</v>
      </c>
      <c r="Q1111">
        <v>28</v>
      </c>
      <c r="R1111">
        <v>15</v>
      </c>
      <c r="S1111">
        <v>0.2064</v>
      </c>
    </row>
    <row r="1112" spans="1:19" x14ac:dyDescent="0.25">
      <c r="A1112">
        <v>1034</v>
      </c>
      <c r="B1112">
        <v>2</v>
      </c>
      <c r="C1112" t="s">
        <v>19</v>
      </c>
      <c r="D1112">
        <v>4.95</v>
      </c>
      <c r="E1112">
        <v>31.7</v>
      </c>
      <c r="F1112">
        <v>170</v>
      </c>
      <c r="G1112">
        <v>387.6</v>
      </c>
      <c r="H1112" t="s">
        <v>20</v>
      </c>
      <c r="I1112" t="s">
        <v>22</v>
      </c>
      <c r="J1112">
        <v>8490</v>
      </c>
      <c r="K1112" t="s">
        <v>22</v>
      </c>
      <c r="L1112">
        <v>66.900000000000006</v>
      </c>
      <c r="M1112">
        <v>7.34</v>
      </c>
      <c r="N1112" t="s">
        <v>21</v>
      </c>
      <c r="O1112">
        <v>26.7</v>
      </c>
      <c r="P1112">
        <v>36.1</v>
      </c>
      <c r="Q1112">
        <v>28</v>
      </c>
      <c r="R1112">
        <v>30</v>
      </c>
      <c r="S1112">
        <v>0.23769999999999999</v>
      </c>
    </row>
    <row r="1113" spans="1:19" x14ac:dyDescent="0.25">
      <c r="A1113">
        <v>1034</v>
      </c>
      <c r="B1113">
        <v>2</v>
      </c>
      <c r="C1113" t="s">
        <v>19</v>
      </c>
      <c r="D1113">
        <v>4.95</v>
      </c>
      <c r="E1113">
        <v>31.7</v>
      </c>
      <c r="F1113">
        <v>170</v>
      </c>
      <c r="G1113">
        <v>387.6</v>
      </c>
      <c r="H1113" t="s">
        <v>20</v>
      </c>
      <c r="I1113" t="s">
        <v>22</v>
      </c>
      <c r="J1113">
        <v>8490</v>
      </c>
      <c r="K1113" t="s">
        <v>22</v>
      </c>
      <c r="L1113">
        <v>66.900000000000006</v>
      </c>
      <c r="M1113">
        <v>7.34</v>
      </c>
      <c r="N1113" t="s">
        <v>21</v>
      </c>
      <c r="O1113">
        <v>26.7</v>
      </c>
      <c r="P1113">
        <v>36.1</v>
      </c>
      <c r="Q1113">
        <v>28</v>
      </c>
      <c r="R1113">
        <v>55</v>
      </c>
      <c r="S1113">
        <v>0.27010000000000001</v>
      </c>
    </row>
    <row r="1114" spans="1:19" x14ac:dyDescent="0.25">
      <c r="A1114">
        <v>1034</v>
      </c>
      <c r="B1114">
        <v>2</v>
      </c>
      <c r="C1114" t="s">
        <v>19</v>
      </c>
      <c r="D1114">
        <v>4.95</v>
      </c>
      <c r="E1114">
        <v>31.7</v>
      </c>
      <c r="F1114">
        <v>170</v>
      </c>
      <c r="G1114">
        <v>387.6</v>
      </c>
      <c r="H1114" t="s">
        <v>20</v>
      </c>
      <c r="I1114" t="s">
        <v>22</v>
      </c>
      <c r="J1114">
        <v>8490</v>
      </c>
      <c r="K1114" t="s">
        <v>22</v>
      </c>
      <c r="L1114">
        <v>66.900000000000006</v>
      </c>
      <c r="M1114">
        <v>7.34</v>
      </c>
      <c r="N1114" t="s">
        <v>21</v>
      </c>
      <c r="O1114">
        <v>26.7</v>
      </c>
      <c r="P1114">
        <v>36.1</v>
      </c>
      <c r="Q1114">
        <v>28</v>
      </c>
      <c r="R1114">
        <v>90</v>
      </c>
      <c r="S1114">
        <v>0.33300000000000002</v>
      </c>
    </row>
    <row r="1115" spans="1:19" x14ac:dyDescent="0.25">
      <c r="A1115">
        <v>1034</v>
      </c>
      <c r="B1115">
        <v>3</v>
      </c>
      <c r="C1115" t="s">
        <v>19</v>
      </c>
      <c r="D1115">
        <v>4.95</v>
      </c>
      <c r="E1115">
        <v>31.7</v>
      </c>
      <c r="F1115">
        <v>170</v>
      </c>
      <c r="G1115">
        <v>387.6</v>
      </c>
      <c r="H1115" t="s">
        <v>20</v>
      </c>
      <c r="I1115" t="s">
        <v>22</v>
      </c>
      <c r="J1115">
        <v>1790</v>
      </c>
      <c r="K1115" t="s">
        <v>22</v>
      </c>
      <c r="L1115">
        <v>66.900000000000006</v>
      </c>
      <c r="M1115">
        <v>7.34</v>
      </c>
      <c r="N1115" t="s">
        <v>21</v>
      </c>
      <c r="O1115">
        <v>26.7</v>
      </c>
      <c r="P1115">
        <v>36.1</v>
      </c>
      <c r="Q1115">
        <v>28</v>
      </c>
      <c r="R1115">
        <v>5</v>
      </c>
      <c r="S1115">
        <v>6.1199999999999997E-2</v>
      </c>
    </row>
    <row r="1116" spans="1:19" x14ac:dyDescent="0.25">
      <c r="A1116">
        <v>1034</v>
      </c>
      <c r="B1116">
        <v>3</v>
      </c>
      <c r="C1116" t="s">
        <v>19</v>
      </c>
      <c r="D1116">
        <v>4.95</v>
      </c>
      <c r="E1116">
        <v>31.7</v>
      </c>
      <c r="F1116">
        <v>170</v>
      </c>
      <c r="G1116">
        <v>387.6</v>
      </c>
      <c r="H1116" t="s">
        <v>20</v>
      </c>
      <c r="I1116" t="s">
        <v>22</v>
      </c>
      <c r="J1116">
        <v>1790</v>
      </c>
      <c r="K1116" t="s">
        <v>22</v>
      </c>
      <c r="L1116">
        <v>66.900000000000006</v>
      </c>
      <c r="M1116">
        <v>7.34</v>
      </c>
      <c r="N1116" t="s">
        <v>21</v>
      </c>
      <c r="O1116">
        <v>26.7</v>
      </c>
      <c r="P1116">
        <v>36.1</v>
      </c>
      <c r="Q1116">
        <v>28</v>
      </c>
      <c r="R1116">
        <v>15</v>
      </c>
      <c r="S1116">
        <v>0.20330000000000001</v>
      </c>
    </row>
    <row r="1117" spans="1:19" x14ac:dyDescent="0.25">
      <c r="A1117">
        <v>1034</v>
      </c>
      <c r="B1117">
        <v>3</v>
      </c>
      <c r="C1117" t="s">
        <v>19</v>
      </c>
      <c r="D1117">
        <v>4.95</v>
      </c>
      <c r="E1117">
        <v>31.7</v>
      </c>
      <c r="F1117">
        <v>170</v>
      </c>
      <c r="G1117">
        <v>387.6</v>
      </c>
      <c r="H1117" t="s">
        <v>20</v>
      </c>
      <c r="I1117" t="s">
        <v>22</v>
      </c>
      <c r="J1117">
        <v>1790</v>
      </c>
      <c r="K1117" t="s">
        <v>22</v>
      </c>
      <c r="L1117">
        <v>66.900000000000006</v>
      </c>
      <c r="M1117">
        <v>7.34</v>
      </c>
      <c r="N1117" t="s">
        <v>21</v>
      </c>
      <c r="O1117">
        <v>26.7</v>
      </c>
      <c r="P1117">
        <v>36.1</v>
      </c>
      <c r="Q1117">
        <v>28</v>
      </c>
      <c r="R1117">
        <v>30</v>
      </c>
      <c r="S1117">
        <v>0.2792</v>
      </c>
    </row>
    <row r="1118" spans="1:19" x14ac:dyDescent="0.25">
      <c r="A1118">
        <v>1034</v>
      </c>
      <c r="B1118">
        <v>3</v>
      </c>
      <c r="C1118" t="s">
        <v>19</v>
      </c>
      <c r="D1118">
        <v>4.95</v>
      </c>
      <c r="E1118">
        <v>31.7</v>
      </c>
      <c r="F1118">
        <v>170</v>
      </c>
      <c r="G1118">
        <v>387.6</v>
      </c>
      <c r="H1118" t="s">
        <v>20</v>
      </c>
      <c r="I1118" t="s">
        <v>22</v>
      </c>
      <c r="J1118">
        <v>1790</v>
      </c>
      <c r="K1118" t="s">
        <v>22</v>
      </c>
      <c r="L1118">
        <v>66.900000000000006</v>
      </c>
      <c r="M1118">
        <v>7.34</v>
      </c>
      <c r="N1118" t="s">
        <v>21</v>
      </c>
      <c r="O1118">
        <v>26.7</v>
      </c>
      <c r="P1118">
        <v>36.1</v>
      </c>
      <c r="Q1118">
        <v>28</v>
      </c>
      <c r="R1118">
        <v>55</v>
      </c>
      <c r="S1118">
        <v>0.37640000000000001</v>
      </c>
    </row>
    <row r="1119" spans="1:19" x14ac:dyDescent="0.25">
      <c r="A1119">
        <v>1034</v>
      </c>
      <c r="B1119">
        <v>3</v>
      </c>
      <c r="C1119" t="s">
        <v>19</v>
      </c>
      <c r="D1119">
        <v>4.95</v>
      </c>
      <c r="E1119">
        <v>31.7</v>
      </c>
      <c r="F1119">
        <v>170</v>
      </c>
      <c r="G1119">
        <v>387.6</v>
      </c>
      <c r="H1119" t="s">
        <v>20</v>
      </c>
      <c r="I1119" t="s">
        <v>22</v>
      </c>
      <c r="J1119">
        <v>1790</v>
      </c>
      <c r="K1119" t="s">
        <v>22</v>
      </c>
      <c r="L1119">
        <v>66.900000000000006</v>
      </c>
      <c r="M1119">
        <v>7.34</v>
      </c>
      <c r="N1119" t="s">
        <v>21</v>
      </c>
      <c r="O1119">
        <v>26.7</v>
      </c>
      <c r="P1119">
        <v>36.1</v>
      </c>
      <c r="Q1119">
        <v>28</v>
      </c>
      <c r="R1119">
        <v>90</v>
      </c>
      <c r="S1119">
        <v>0.38700000000000001</v>
      </c>
    </row>
    <row r="1120" spans="1:19" x14ac:dyDescent="0.25">
      <c r="A1120">
        <v>1034</v>
      </c>
      <c r="B1120">
        <v>4</v>
      </c>
      <c r="C1120" t="s">
        <v>19</v>
      </c>
      <c r="D1120">
        <v>4.95</v>
      </c>
      <c r="E1120">
        <v>31.7</v>
      </c>
      <c r="F1120">
        <v>170</v>
      </c>
      <c r="G1120">
        <v>387.6</v>
      </c>
      <c r="H1120" t="s">
        <v>20</v>
      </c>
      <c r="I1120" t="s">
        <v>22</v>
      </c>
      <c r="J1120">
        <v>2520</v>
      </c>
      <c r="K1120" t="s">
        <v>22</v>
      </c>
      <c r="L1120">
        <v>66.900000000000006</v>
      </c>
      <c r="M1120">
        <v>7.34</v>
      </c>
      <c r="N1120" t="s">
        <v>21</v>
      </c>
      <c r="O1120">
        <v>26.7</v>
      </c>
      <c r="P1120">
        <v>36.1</v>
      </c>
      <c r="Q1120">
        <v>28</v>
      </c>
      <c r="R1120">
        <v>5</v>
      </c>
      <c r="S1120">
        <v>5.9799999999999999E-2</v>
      </c>
    </row>
    <row r="1121" spans="1:19" x14ac:dyDescent="0.25">
      <c r="A1121">
        <v>1034</v>
      </c>
      <c r="B1121">
        <v>4</v>
      </c>
      <c r="C1121" t="s">
        <v>19</v>
      </c>
      <c r="D1121">
        <v>4.95</v>
      </c>
      <c r="E1121">
        <v>31.7</v>
      </c>
      <c r="F1121">
        <v>170</v>
      </c>
      <c r="G1121">
        <v>387.6</v>
      </c>
      <c r="H1121" t="s">
        <v>20</v>
      </c>
      <c r="I1121" t="s">
        <v>22</v>
      </c>
      <c r="J1121">
        <v>2520</v>
      </c>
      <c r="K1121" t="s">
        <v>22</v>
      </c>
      <c r="L1121">
        <v>66.900000000000006</v>
      </c>
      <c r="M1121">
        <v>7.34</v>
      </c>
      <c r="N1121" t="s">
        <v>21</v>
      </c>
      <c r="O1121">
        <v>26.7</v>
      </c>
      <c r="P1121">
        <v>36.1</v>
      </c>
      <c r="Q1121">
        <v>28</v>
      </c>
      <c r="R1121">
        <v>15</v>
      </c>
      <c r="S1121">
        <v>0.1709</v>
      </c>
    </row>
    <row r="1122" spans="1:19" x14ac:dyDescent="0.25">
      <c r="A1122">
        <v>1034</v>
      </c>
      <c r="B1122">
        <v>4</v>
      </c>
      <c r="C1122" t="s">
        <v>19</v>
      </c>
      <c r="D1122">
        <v>4.95</v>
      </c>
      <c r="E1122">
        <v>31.7</v>
      </c>
      <c r="F1122">
        <v>170</v>
      </c>
      <c r="G1122">
        <v>387.6</v>
      </c>
      <c r="H1122" t="s">
        <v>20</v>
      </c>
      <c r="I1122" t="s">
        <v>22</v>
      </c>
      <c r="J1122">
        <v>2520</v>
      </c>
      <c r="K1122" t="s">
        <v>22</v>
      </c>
      <c r="L1122">
        <v>66.900000000000006</v>
      </c>
      <c r="M1122">
        <v>7.34</v>
      </c>
      <c r="N1122" t="s">
        <v>21</v>
      </c>
      <c r="O1122">
        <v>26.7</v>
      </c>
      <c r="P1122">
        <v>36.1</v>
      </c>
      <c r="Q1122">
        <v>28</v>
      </c>
      <c r="R1122">
        <v>30</v>
      </c>
      <c r="S1122">
        <v>0.27560000000000001</v>
      </c>
    </row>
    <row r="1123" spans="1:19" x14ac:dyDescent="0.25">
      <c r="A1123">
        <v>1034</v>
      </c>
      <c r="B1123">
        <v>4</v>
      </c>
      <c r="C1123" t="s">
        <v>19</v>
      </c>
      <c r="D1123">
        <v>4.95</v>
      </c>
      <c r="E1123">
        <v>31.7</v>
      </c>
      <c r="F1123">
        <v>170</v>
      </c>
      <c r="G1123">
        <v>387.6</v>
      </c>
      <c r="H1123" t="s">
        <v>20</v>
      </c>
      <c r="I1123" t="s">
        <v>22</v>
      </c>
      <c r="J1123">
        <v>2520</v>
      </c>
      <c r="K1123" t="s">
        <v>22</v>
      </c>
      <c r="L1123">
        <v>66.900000000000006</v>
      </c>
      <c r="M1123">
        <v>7.34</v>
      </c>
      <c r="N1123" t="s">
        <v>21</v>
      </c>
      <c r="O1123">
        <v>26.7</v>
      </c>
      <c r="P1123">
        <v>36.1</v>
      </c>
      <c r="Q1123">
        <v>28</v>
      </c>
      <c r="R1123">
        <v>55</v>
      </c>
      <c r="S1123">
        <v>0.37309999999999999</v>
      </c>
    </row>
    <row r="1124" spans="1:19" x14ac:dyDescent="0.25">
      <c r="A1124">
        <v>1034</v>
      </c>
      <c r="B1124">
        <v>4</v>
      </c>
      <c r="C1124" t="s">
        <v>19</v>
      </c>
      <c r="D1124">
        <v>4.95</v>
      </c>
      <c r="E1124">
        <v>31.7</v>
      </c>
      <c r="F1124">
        <v>170</v>
      </c>
      <c r="G1124">
        <v>387.6</v>
      </c>
      <c r="H1124" t="s">
        <v>20</v>
      </c>
      <c r="I1124" t="s">
        <v>22</v>
      </c>
      <c r="J1124">
        <v>2520</v>
      </c>
      <c r="K1124" t="s">
        <v>22</v>
      </c>
      <c r="L1124">
        <v>66.900000000000006</v>
      </c>
      <c r="M1124">
        <v>7.34</v>
      </c>
      <c r="N1124" t="s">
        <v>21</v>
      </c>
      <c r="O1124">
        <v>26.7</v>
      </c>
      <c r="P1124">
        <v>36.1</v>
      </c>
      <c r="Q1124">
        <v>28</v>
      </c>
      <c r="R1124">
        <v>90</v>
      </c>
      <c r="S1124">
        <v>0.40400000000000003</v>
      </c>
    </row>
    <row r="1125" spans="1:19" x14ac:dyDescent="0.25">
      <c r="A1125">
        <v>1035</v>
      </c>
      <c r="B1125">
        <v>1</v>
      </c>
      <c r="C1125" t="s">
        <v>28</v>
      </c>
      <c r="D1125">
        <v>4.57</v>
      </c>
      <c r="E1125">
        <v>1.1000000000000001</v>
      </c>
      <c r="F1125">
        <v>340</v>
      </c>
      <c r="G1125">
        <v>101</v>
      </c>
      <c r="H1125" t="s">
        <v>48</v>
      </c>
      <c r="I1125" t="s">
        <v>22</v>
      </c>
      <c r="J1125" t="s">
        <v>22</v>
      </c>
      <c r="K1125" t="s">
        <v>22</v>
      </c>
      <c r="L1125">
        <v>49</v>
      </c>
      <c r="M1125">
        <v>7</v>
      </c>
      <c r="N1125" t="s">
        <v>29</v>
      </c>
      <c r="O1125">
        <v>60</v>
      </c>
      <c r="P1125">
        <v>0.2</v>
      </c>
      <c r="Q1125">
        <v>30</v>
      </c>
      <c r="R1125">
        <v>30</v>
      </c>
      <c r="S1125">
        <v>0.17</v>
      </c>
    </row>
    <row r="1126" spans="1:19" x14ac:dyDescent="0.25">
      <c r="A1126">
        <v>1035</v>
      </c>
      <c r="B1126">
        <v>1</v>
      </c>
      <c r="C1126" t="s">
        <v>35</v>
      </c>
      <c r="D1126">
        <v>5.18</v>
      </c>
      <c r="E1126">
        <v>0.13200000000000001</v>
      </c>
      <c r="F1126">
        <v>393</v>
      </c>
      <c r="G1126">
        <v>150</v>
      </c>
      <c r="H1126" t="s">
        <v>48</v>
      </c>
      <c r="I1126" t="s">
        <v>22</v>
      </c>
      <c r="J1126" t="s">
        <v>22</v>
      </c>
      <c r="K1126" t="s">
        <v>22</v>
      </c>
      <c r="L1126">
        <v>49</v>
      </c>
      <c r="M1126">
        <v>7</v>
      </c>
      <c r="N1126" t="s">
        <v>32</v>
      </c>
      <c r="O1126">
        <v>60</v>
      </c>
      <c r="P1126">
        <v>0.2</v>
      </c>
      <c r="Q1126">
        <v>30</v>
      </c>
      <c r="R1126">
        <v>30</v>
      </c>
      <c r="S1126">
        <v>0.16</v>
      </c>
    </row>
    <row r="1127" spans="1:19" x14ac:dyDescent="0.25">
      <c r="A1127">
        <v>1035</v>
      </c>
      <c r="B1127">
        <v>2</v>
      </c>
      <c r="C1127" t="s">
        <v>28</v>
      </c>
      <c r="D1127">
        <v>4.57</v>
      </c>
      <c r="E1127">
        <v>1.1000000000000001</v>
      </c>
      <c r="F1127">
        <v>340</v>
      </c>
      <c r="G1127">
        <v>101</v>
      </c>
      <c r="H1127" t="s">
        <v>48</v>
      </c>
      <c r="I1127" t="s">
        <v>22</v>
      </c>
      <c r="J1127" t="s">
        <v>22</v>
      </c>
      <c r="K1127" t="s">
        <v>22</v>
      </c>
      <c r="L1127">
        <v>49</v>
      </c>
      <c r="M1127">
        <v>7</v>
      </c>
      <c r="N1127" t="s">
        <v>29</v>
      </c>
      <c r="O1127">
        <v>60</v>
      </c>
      <c r="P1127">
        <v>0.2</v>
      </c>
      <c r="Q1127">
        <v>30</v>
      </c>
      <c r="R1127">
        <v>30</v>
      </c>
      <c r="S1127">
        <v>0.105</v>
      </c>
    </row>
    <row r="1128" spans="1:19" x14ac:dyDescent="0.25">
      <c r="A1128">
        <v>1035</v>
      </c>
      <c r="B1128">
        <v>2</v>
      </c>
      <c r="C1128" t="s">
        <v>35</v>
      </c>
      <c r="D1128">
        <v>5.18</v>
      </c>
      <c r="E1128">
        <v>0.13200000000000001</v>
      </c>
      <c r="F1128">
        <v>393</v>
      </c>
      <c r="G1128">
        <v>150</v>
      </c>
      <c r="H1128" t="s">
        <v>48</v>
      </c>
      <c r="I1128" t="s">
        <v>22</v>
      </c>
      <c r="J1128" t="s">
        <v>22</v>
      </c>
      <c r="K1128" t="s">
        <v>22</v>
      </c>
      <c r="L1128">
        <f>L1127</f>
        <v>49</v>
      </c>
      <c r="M1128">
        <v>7</v>
      </c>
      <c r="N1128" t="s">
        <v>32</v>
      </c>
      <c r="O1128">
        <v>60</v>
      </c>
      <c r="P1128">
        <v>0.2</v>
      </c>
      <c r="Q1128">
        <v>30</v>
      </c>
      <c r="R1128">
        <v>30</v>
      </c>
      <c r="S1128">
        <v>0.42</v>
      </c>
    </row>
    <row r="1129" spans="1:19" x14ac:dyDescent="0.25">
      <c r="A1129">
        <v>1035</v>
      </c>
      <c r="B1129">
        <v>3</v>
      </c>
      <c r="C1129" t="s">
        <v>28</v>
      </c>
      <c r="D1129">
        <v>4.57</v>
      </c>
      <c r="E1129">
        <v>1.1000000000000001</v>
      </c>
      <c r="F1129">
        <v>340</v>
      </c>
      <c r="G1129">
        <v>101</v>
      </c>
      <c r="H1129" t="s">
        <v>48</v>
      </c>
      <c r="I1129" t="s">
        <v>22</v>
      </c>
      <c r="J1129" t="s">
        <v>22</v>
      </c>
      <c r="K1129" t="s">
        <v>22</v>
      </c>
      <c r="L1129">
        <v>49</v>
      </c>
      <c r="M1129">
        <v>7</v>
      </c>
      <c r="N1129" t="s">
        <v>29</v>
      </c>
      <c r="O1129">
        <v>60</v>
      </c>
      <c r="P1129">
        <v>0.2</v>
      </c>
      <c r="Q1129">
        <v>30</v>
      </c>
      <c r="R1129">
        <v>30</v>
      </c>
      <c r="S1129">
        <v>0.17499999999999999</v>
      </c>
    </row>
    <row r="1130" spans="1:19" x14ac:dyDescent="0.25">
      <c r="A1130">
        <v>1035</v>
      </c>
      <c r="B1130">
        <v>3</v>
      </c>
      <c r="C1130" t="s">
        <v>35</v>
      </c>
      <c r="D1130">
        <v>5.18</v>
      </c>
      <c r="E1130">
        <v>0.13200000000000001</v>
      </c>
      <c r="F1130">
        <v>393</v>
      </c>
      <c r="G1130">
        <v>150</v>
      </c>
      <c r="H1130" t="s">
        <v>48</v>
      </c>
      <c r="I1130" t="s">
        <v>22</v>
      </c>
      <c r="J1130" t="s">
        <v>22</v>
      </c>
      <c r="K1130" t="s">
        <v>22</v>
      </c>
      <c r="L1130">
        <v>49</v>
      </c>
      <c r="M1130">
        <v>7</v>
      </c>
      <c r="N1130" t="s">
        <v>32</v>
      </c>
      <c r="O1130">
        <v>60</v>
      </c>
      <c r="P1130">
        <v>0.2</v>
      </c>
      <c r="Q1130">
        <v>30</v>
      </c>
      <c r="R1130">
        <v>30</v>
      </c>
      <c r="S1130">
        <v>0.27</v>
      </c>
    </row>
    <row r="1131" spans="1:19" x14ac:dyDescent="0.25">
      <c r="A1131">
        <v>1035</v>
      </c>
      <c r="B1131">
        <v>4</v>
      </c>
      <c r="C1131" t="s">
        <v>28</v>
      </c>
      <c r="D1131">
        <v>4.57</v>
      </c>
      <c r="E1131">
        <v>1.1000000000000001</v>
      </c>
      <c r="F1131">
        <v>340</v>
      </c>
      <c r="G1131">
        <v>101</v>
      </c>
      <c r="H1131" t="s">
        <v>48</v>
      </c>
      <c r="I1131" t="s">
        <v>22</v>
      </c>
      <c r="J1131" t="s">
        <v>22</v>
      </c>
      <c r="K1131" t="s">
        <v>22</v>
      </c>
      <c r="L1131">
        <v>49</v>
      </c>
      <c r="M1131">
        <v>7</v>
      </c>
      <c r="N1131" t="s">
        <v>29</v>
      </c>
      <c r="O1131">
        <v>60</v>
      </c>
      <c r="P1131">
        <v>0.2</v>
      </c>
      <c r="Q1131">
        <v>30</v>
      </c>
      <c r="R1131">
        <v>30</v>
      </c>
      <c r="S1131">
        <v>0.503</v>
      </c>
    </row>
    <row r="1132" spans="1:19" x14ac:dyDescent="0.25">
      <c r="A1132">
        <v>1035</v>
      </c>
      <c r="B1132">
        <v>4</v>
      </c>
      <c r="C1132" t="s">
        <v>35</v>
      </c>
      <c r="D1132">
        <v>5.18</v>
      </c>
      <c r="E1132">
        <v>0.13200000000000001</v>
      </c>
      <c r="F1132">
        <v>393</v>
      </c>
      <c r="G1132">
        <v>150</v>
      </c>
      <c r="H1132" t="s">
        <v>48</v>
      </c>
      <c r="I1132" t="s">
        <v>22</v>
      </c>
      <c r="J1132" t="s">
        <v>22</v>
      </c>
      <c r="K1132" t="s">
        <v>22</v>
      </c>
      <c r="L1132">
        <v>49</v>
      </c>
      <c r="M1132">
        <v>7</v>
      </c>
      <c r="N1132" t="s">
        <v>32</v>
      </c>
      <c r="O1132">
        <v>60</v>
      </c>
      <c r="P1132">
        <v>0.2</v>
      </c>
      <c r="Q1132">
        <v>30</v>
      </c>
      <c r="R1132">
        <v>30</v>
      </c>
      <c r="S1132">
        <v>0.42</v>
      </c>
    </row>
    <row r="1133" spans="1:19" x14ac:dyDescent="0.25">
      <c r="A1133">
        <v>1035</v>
      </c>
      <c r="B1133">
        <v>5</v>
      </c>
      <c r="C1133" t="s">
        <v>28</v>
      </c>
      <c r="D1133">
        <v>4.57</v>
      </c>
      <c r="E1133">
        <v>1.1000000000000001</v>
      </c>
      <c r="F1133">
        <v>340</v>
      </c>
      <c r="G1133">
        <v>101</v>
      </c>
      <c r="H1133" t="s">
        <v>48</v>
      </c>
      <c r="I1133" t="s">
        <v>22</v>
      </c>
      <c r="J1133" t="s">
        <v>22</v>
      </c>
      <c r="K1133" t="s">
        <v>22</v>
      </c>
      <c r="L1133">
        <v>49</v>
      </c>
      <c r="M1133">
        <v>7.01</v>
      </c>
      <c r="N1133" t="s">
        <v>29</v>
      </c>
      <c r="O1133">
        <v>60</v>
      </c>
      <c r="P1133">
        <v>15</v>
      </c>
      <c r="Q1133">
        <v>30</v>
      </c>
      <c r="R1133">
        <v>30</v>
      </c>
      <c r="S1133">
        <v>0.89670000000000005</v>
      </c>
    </row>
    <row r="1134" spans="1:19" x14ac:dyDescent="0.25">
      <c r="A1134">
        <v>1035</v>
      </c>
      <c r="B1134">
        <v>5</v>
      </c>
      <c r="C1134" t="s">
        <v>35</v>
      </c>
      <c r="D1134">
        <v>5.18</v>
      </c>
      <c r="E1134">
        <v>0.13200000000000001</v>
      </c>
      <c r="F1134">
        <v>393</v>
      </c>
      <c r="G1134">
        <v>150</v>
      </c>
      <c r="H1134" t="s">
        <v>48</v>
      </c>
      <c r="I1134" t="s">
        <v>22</v>
      </c>
      <c r="J1134" t="s">
        <v>22</v>
      </c>
      <c r="K1134" t="s">
        <v>22</v>
      </c>
      <c r="L1134">
        <v>49</v>
      </c>
      <c r="M1134">
        <v>7.01</v>
      </c>
      <c r="N1134" t="s">
        <v>32</v>
      </c>
      <c r="O1134">
        <v>60</v>
      </c>
      <c r="P1134">
        <v>15</v>
      </c>
      <c r="Q1134">
        <v>30</v>
      </c>
      <c r="R1134">
        <v>30</v>
      </c>
      <c r="S1134">
        <v>0.7107</v>
      </c>
    </row>
    <row r="1135" spans="1:19" x14ac:dyDescent="0.25">
      <c r="A1135">
        <v>1035</v>
      </c>
      <c r="B1135">
        <v>6</v>
      </c>
      <c r="C1135" t="s">
        <v>28</v>
      </c>
      <c r="D1135">
        <v>4.57</v>
      </c>
      <c r="E1135">
        <v>1.1000000000000001</v>
      </c>
      <c r="F1135">
        <v>340</v>
      </c>
      <c r="G1135">
        <v>101</v>
      </c>
      <c r="H1135" t="s">
        <v>48</v>
      </c>
      <c r="I1135" t="s">
        <v>22</v>
      </c>
      <c r="J1135" t="s">
        <v>22</v>
      </c>
      <c r="K1135" t="s">
        <v>22</v>
      </c>
      <c r="L1135">
        <v>49</v>
      </c>
      <c r="M1135">
        <v>7.01</v>
      </c>
      <c r="N1135" t="s">
        <v>29</v>
      </c>
      <c r="O1135">
        <v>60</v>
      </c>
      <c r="P1135">
        <v>15</v>
      </c>
      <c r="Q1135">
        <v>30</v>
      </c>
      <c r="R1135">
        <v>30</v>
      </c>
      <c r="S1135">
        <v>0.88529999999999998</v>
      </c>
    </row>
    <row r="1136" spans="1:19" x14ac:dyDescent="0.25">
      <c r="A1136">
        <v>1035</v>
      </c>
      <c r="B1136">
        <v>6</v>
      </c>
      <c r="C1136" t="s">
        <v>35</v>
      </c>
      <c r="D1136">
        <v>5.18</v>
      </c>
      <c r="E1136">
        <v>0.13200000000000001</v>
      </c>
      <c r="F1136">
        <v>393</v>
      </c>
      <c r="G1136">
        <v>150</v>
      </c>
      <c r="H1136" t="s">
        <v>48</v>
      </c>
      <c r="I1136" t="s">
        <v>22</v>
      </c>
      <c r="J1136" t="s">
        <v>22</v>
      </c>
      <c r="K1136" t="s">
        <v>22</v>
      </c>
      <c r="L1136">
        <v>49</v>
      </c>
      <c r="M1136">
        <v>7.01</v>
      </c>
      <c r="N1136" t="s">
        <v>32</v>
      </c>
      <c r="O1136">
        <v>60</v>
      </c>
      <c r="P1136">
        <v>15</v>
      </c>
      <c r="Q1136">
        <v>30</v>
      </c>
      <c r="R1136">
        <v>30</v>
      </c>
      <c r="S1136">
        <v>0.7873</v>
      </c>
    </row>
    <row r="1137" spans="1:19" x14ac:dyDescent="0.25">
      <c r="A1137">
        <v>1035</v>
      </c>
      <c r="B1137">
        <v>7</v>
      </c>
      <c r="C1137" t="s">
        <v>28</v>
      </c>
      <c r="D1137">
        <v>4.57</v>
      </c>
      <c r="E1137">
        <v>1.1000000000000001</v>
      </c>
      <c r="F1137">
        <v>340</v>
      </c>
      <c r="G1137">
        <v>101</v>
      </c>
      <c r="H1137" t="s">
        <v>48</v>
      </c>
      <c r="I1137" t="s">
        <v>22</v>
      </c>
      <c r="J1137" t="s">
        <v>22</v>
      </c>
      <c r="K1137" t="s">
        <v>22</v>
      </c>
      <c r="L1137">
        <v>49</v>
      </c>
      <c r="M1137">
        <v>7.01</v>
      </c>
      <c r="N1137" t="s">
        <v>29</v>
      </c>
      <c r="O1137">
        <v>60</v>
      </c>
      <c r="P1137">
        <v>15</v>
      </c>
      <c r="Q1137">
        <v>30</v>
      </c>
      <c r="R1137">
        <v>30</v>
      </c>
      <c r="S1137">
        <v>0.89200000000000002</v>
      </c>
    </row>
    <row r="1138" spans="1:19" x14ac:dyDescent="0.25">
      <c r="A1138">
        <v>1035</v>
      </c>
      <c r="B1138">
        <v>7</v>
      </c>
      <c r="C1138" t="s">
        <v>35</v>
      </c>
      <c r="D1138">
        <v>5.18</v>
      </c>
      <c r="E1138">
        <v>0.13200000000000001</v>
      </c>
      <c r="F1138">
        <v>393</v>
      </c>
      <c r="G1138">
        <v>150</v>
      </c>
      <c r="H1138" t="s">
        <v>48</v>
      </c>
      <c r="I1138" t="s">
        <v>22</v>
      </c>
      <c r="J1138" t="s">
        <v>22</v>
      </c>
      <c r="K1138" t="s">
        <v>22</v>
      </c>
      <c r="L1138">
        <v>49</v>
      </c>
      <c r="M1138">
        <v>7.01</v>
      </c>
      <c r="N1138" t="s">
        <v>32</v>
      </c>
      <c r="O1138">
        <v>60</v>
      </c>
      <c r="P1138">
        <v>15</v>
      </c>
      <c r="Q1138">
        <v>30</v>
      </c>
      <c r="R1138">
        <v>30</v>
      </c>
      <c r="S1138">
        <v>0.72130000000000005</v>
      </c>
    </row>
    <row r="1139" spans="1:19" x14ac:dyDescent="0.25">
      <c r="A1139">
        <v>1035</v>
      </c>
      <c r="B1139">
        <v>8</v>
      </c>
      <c r="C1139" t="s">
        <v>28</v>
      </c>
      <c r="D1139">
        <v>4.57</v>
      </c>
      <c r="E1139">
        <v>1.1000000000000001</v>
      </c>
      <c r="F1139">
        <v>340</v>
      </c>
      <c r="G1139">
        <v>101</v>
      </c>
      <c r="H1139" t="s">
        <v>48</v>
      </c>
      <c r="I1139" t="s">
        <v>22</v>
      </c>
      <c r="J1139" t="s">
        <v>22</v>
      </c>
      <c r="K1139" t="s">
        <v>22</v>
      </c>
      <c r="L1139">
        <v>49</v>
      </c>
      <c r="M1139">
        <v>7.01</v>
      </c>
      <c r="N1139" t="s">
        <v>29</v>
      </c>
      <c r="O1139">
        <v>60</v>
      </c>
      <c r="P1139">
        <v>15</v>
      </c>
      <c r="Q1139">
        <v>30</v>
      </c>
      <c r="R1139">
        <v>30</v>
      </c>
      <c r="S1139">
        <v>0.86329999999999996</v>
      </c>
    </row>
    <row r="1140" spans="1:19" x14ac:dyDescent="0.25">
      <c r="A1140">
        <v>1035</v>
      </c>
      <c r="B1140">
        <v>8</v>
      </c>
      <c r="C1140" t="s">
        <v>35</v>
      </c>
      <c r="D1140">
        <v>5.18</v>
      </c>
      <c r="E1140">
        <v>0.13200000000000001</v>
      </c>
      <c r="F1140">
        <v>393</v>
      </c>
      <c r="G1140">
        <v>150</v>
      </c>
      <c r="H1140" t="s">
        <v>48</v>
      </c>
      <c r="I1140" t="s">
        <v>22</v>
      </c>
      <c r="J1140" t="s">
        <v>22</v>
      </c>
      <c r="K1140" t="s">
        <v>22</v>
      </c>
      <c r="L1140">
        <v>49</v>
      </c>
      <c r="M1140">
        <v>7.01</v>
      </c>
      <c r="N1140" t="s">
        <v>32</v>
      </c>
      <c r="O1140">
        <v>60</v>
      </c>
      <c r="P1140">
        <v>15</v>
      </c>
      <c r="Q1140">
        <v>30</v>
      </c>
      <c r="R1140">
        <v>30</v>
      </c>
      <c r="S1140">
        <v>0.80469999999999997</v>
      </c>
    </row>
    <row r="1141" spans="1:19" x14ac:dyDescent="0.25">
      <c r="A1141">
        <v>1035</v>
      </c>
      <c r="B1141">
        <v>9</v>
      </c>
      <c r="C1141" t="s">
        <v>28</v>
      </c>
      <c r="D1141">
        <v>4.57</v>
      </c>
      <c r="E1141">
        <v>1.1000000000000001</v>
      </c>
      <c r="F1141">
        <v>340</v>
      </c>
      <c r="G1141">
        <v>101</v>
      </c>
      <c r="H1141" t="s">
        <v>48</v>
      </c>
      <c r="I1141" t="s">
        <v>22</v>
      </c>
      <c r="J1141" t="s">
        <v>22</v>
      </c>
      <c r="K1141" t="s">
        <v>22</v>
      </c>
      <c r="L1141">
        <v>49</v>
      </c>
      <c r="M1141">
        <v>7.01</v>
      </c>
      <c r="N1141" t="s">
        <v>29</v>
      </c>
      <c r="O1141">
        <v>60</v>
      </c>
      <c r="P1141">
        <v>15</v>
      </c>
      <c r="Q1141">
        <v>30</v>
      </c>
      <c r="R1141">
        <v>30</v>
      </c>
      <c r="S1141">
        <v>0.91200000000000003</v>
      </c>
    </row>
    <row r="1142" spans="1:19" x14ac:dyDescent="0.25">
      <c r="A1142">
        <v>1035</v>
      </c>
      <c r="B1142">
        <v>9</v>
      </c>
      <c r="C1142" t="s">
        <v>35</v>
      </c>
      <c r="D1142">
        <v>5.18</v>
      </c>
      <c r="E1142">
        <v>0.13200000000000001</v>
      </c>
      <c r="F1142">
        <v>393</v>
      </c>
      <c r="G1142">
        <v>150</v>
      </c>
      <c r="H1142" t="s">
        <v>48</v>
      </c>
      <c r="I1142" t="s">
        <v>22</v>
      </c>
      <c r="J1142" t="s">
        <v>22</v>
      </c>
      <c r="K1142" t="s">
        <v>22</v>
      </c>
      <c r="L1142">
        <v>49</v>
      </c>
      <c r="M1142">
        <v>7.01</v>
      </c>
      <c r="N1142" t="s">
        <v>32</v>
      </c>
      <c r="O1142">
        <v>60</v>
      </c>
      <c r="P1142">
        <v>15</v>
      </c>
      <c r="Q1142">
        <v>30</v>
      </c>
      <c r="R1142">
        <v>30</v>
      </c>
      <c r="S1142">
        <v>0.79869999999999997</v>
      </c>
    </row>
    <row r="1143" spans="1:19" x14ac:dyDescent="0.25">
      <c r="A1143">
        <v>1036</v>
      </c>
      <c r="B1143">
        <v>1</v>
      </c>
      <c r="C1143" t="s">
        <v>35</v>
      </c>
      <c r="D1143">
        <v>5.18</v>
      </c>
      <c r="E1143">
        <v>0.13200000000000001</v>
      </c>
      <c r="F1143">
        <v>393</v>
      </c>
      <c r="G1143">
        <v>150</v>
      </c>
      <c r="H1143" t="s">
        <v>20</v>
      </c>
      <c r="I1143">
        <v>62.03</v>
      </c>
      <c r="J1143">
        <v>71.5</v>
      </c>
      <c r="K1143" t="s">
        <v>22</v>
      </c>
      <c r="L1143">
        <v>22.13</v>
      </c>
      <c r="M1143">
        <v>7.4</v>
      </c>
      <c r="N1143" t="s">
        <v>32</v>
      </c>
      <c r="O1143" t="s">
        <v>22</v>
      </c>
      <c r="P1143" t="s">
        <v>22</v>
      </c>
      <c r="Q1143" t="s">
        <v>22</v>
      </c>
      <c r="R1143">
        <v>50</v>
      </c>
      <c r="S1143">
        <v>4.9099999999999998E-2</v>
      </c>
    </row>
    <row r="1144" spans="1:19" x14ac:dyDescent="0.25">
      <c r="A1144">
        <v>1036</v>
      </c>
      <c r="B1144">
        <v>1</v>
      </c>
      <c r="C1144" t="s">
        <v>40</v>
      </c>
      <c r="D1144">
        <v>6.04</v>
      </c>
      <c r="E1144">
        <v>3.8E-3</v>
      </c>
      <c r="F1144">
        <v>400</v>
      </c>
      <c r="G1144">
        <v>150</v>
      </c>
      <c r="H1144" t="s">
        <v>20</v>
      </c>
      <c r="I1144">
        <v>62.03</v>
      </c>
      <c r="J1144">
        <v>71.5</v>
      </c>
      <c r="K1144" t="s">
        <v>22</v>
      </c>
      <c r="L1144">
        <v>22.13</v>
      </c>
      <c r="M1144">
        <v>7.4</v>
      </c>
      <c r="N1144" t="s">
        <v>38</v>
      </c>
      <c r="O1144" t="s">
        <v>22</v>
      </c>
      <c r="P1144" t="s">
        <v>22</v>
      </c>
      <c r="Q1144" t="s">
        <v>22</v>
      </c>
      <c r="R1144">
        <v>50</v>
      </c>
      <c r="S1144">
        <v>4.8399999999999999E-2</v>
      </c>
    </row>
    <row r="1145" spans="1:19" x14ac:dyDescent="0.25">
      <c r="A1145">
        <v>1036</v>
      </c>
      <c r="B1145">
        <v>1</v>
      </c>
      <c r="C1145" t="s">
        <v>42</v>
      </c>
      <c r="D1145">
        <v>6.5</v>
      </c>
      <c r="E1145">
        <v>2.5999999999999998E-4</v>
      </c>
      <c r="F1145">
        <v>400</v>
      </c>
      <c r="G1145">
        <v>200</v>
      </c>
      <c r="H1145" t="s">
        <v>20</v>
      </c>
      <c r="I1145">
        <v>62.03</v>
      </c>
      <c r="J1145">
        <v>71.5</v>
      </c>
      <c r="K1145" t="s">
        <v>22</v>
      </c>
      <c r="L1145">
        <v>22.13</v>
      </c>
      <c r="M1145">
        <v>7.4</v>
      </c>
      <c r="N1145" t="s">
        <v>43</v>
      </c>
      <c r="O1145" t="s">
        <v>22</v>
      </c>
      <c r="P1145" t="s">
        <v>22</v>
      </c>
      <c r="Q1145" t="s">
        <v>22</v>
      </c>
      <c r="R1145">
        <v>50</v>
      </c>
      <c r="S1145">
        <v>6.0999999999999999E-2</v>
      </c>
    </row>
    <row r="1146" spans="1:19" x14ac:dyDescent="0.25">
      <c r="A1146">
        <v>1036</v>
      </c>
      <c r="B1146">
        <v>1</v>
      </c>
      <c r="C1146" t="s">
        <v>35</v>
      </c>
      <c r="D1146">
        <v>5.18</v>
      </c>
      <c r="E1146">
        <v>0.13200000000000001</v>
      </c>
      <c r="F1146">
        <v>393</v>
      </c>
      <c r="G1146">
        <v>150</v>
      </c>
      <c r="H1146" t="s">
        <v>20</v>
      </c>
      <c r="I1146">
        <v>62.03</v>
      </c>
      <c r="J1146">
        <v>71.5</v>
      </c>
      <c r="K1146" t="s">
        <v>22</v>
      </c>
      <c r="L1146">
        <v>22.13</v>
      </c>
      <c r="M1146">
        <v>7.4</v>
      </c>
      <c r="N1146" t="s">
        <v>32</v>
      </c>
      <c r="O1146" t="s">
        <v>22</v>
      </c>
      <c r="P1146" t="s">
        <v>22</v>
      </c>
      <c r="Q1146" t="s">
        <v>22</v>
      </c>
      <c r="R1146">
        <v>50</v>
      </c>
      <c r="S1146">
        <v>0.18</v>
      </c>
    </row>
    <row r="1147" spans="1:19" x14ac:dyDescent="0.25">
      <c r="A1147">
        <v>1036</v>
      </c>
      <c r="B1147">
        <v>1</v>
      </c>
      <c r="C1147" t="s">
        <v>40</v>
      </c>
      <c r="D1147">
        <v>6.04</v>
      </c>
      <c r="E1147">
        <v>3.8E-3</v>
      </c>
      <c r="F1147">
        <v>400</v>
      </c>
      <c r="G1147">
        <v>150</v>
      </c>
      <c r="H1147" t="s">
        <v>20</v>
      </c>
      <c r="I1147">
        <v>62.03</v>
      </c>
      <c r="J1147">
        <v>71.5</v>
      </c>
      <c r="K1147" t="s">
        <v>22</v>
      </c>
      <c r="L1147">
        <v>22.13</v>
      </c>
      <c r="M1147">
        <v>7.4</v>
      </c>
      <c r="N1147" t="s">
        <v>38</v>
      </c>
      <c r="O1147" t="s">
        <v>22</v>
      </c>
      <c r="P1147" t="s">
        <v>22</v>
      </c>
      <c r="Q1147" t="s">
        <v>22</v>
      </c>
      <c r="R1147">
        <v>50</v>
      </c>
      <c r="S1147">
        <v>0.15659999999999999</v>
      </c>
    </row>
    <row r="1148" spans="1:19" x14ac:dyDescent="0.25">
      <c r="A1148">
        <v>1036</v>
      </c>
      <c r="B1148">
        <v>1</v>
      </c>
      <c r="C1148" t="s">
        <v>42</v>
      </c>
      <c r="D1148">
        <v>6.5</v>
      </c>
      <c r="E1148">
        <v>2.5999999999999998E-4</v>
      </c>
      <c r="F1148">
        <v>400</v>
      </c>
      <c r="G1148">
        <v>200</v>
      </c>
      <c r="H1148" t="s">
        <v>20</v>
      </c>
      <c r="I1148">
        <v>62.03</v>
      </c>
      <c r="J1148">
        <v>71.5</v>
      </c>
      <c r="K1148" t="s">
        <v>22</v>
      </c>
      <c r="L1148">
        <v>22.13</v>
      </c>
      <c r="M1148">
        <v>7.4</v>
      </c>
      <c r="N1148" t="s">
        <v>43</v>
      </c>
      <c r="O1148" t="s">
        <v>22</v>
      </c>
      <c r="P1148" t="s">
        <v>22</v>
      </c>
      <c r="Q1148" t="s">
        <v>22</v>
      </c>
      <c r="R1148">
        <v>50</v>
      </c>
      <c r="S1148">
        <v>0.153</v>
      </c>
    </row>
    <row r="1149" spans="1:19" x14ac:dyDescent="0.25">
      <c r="A1149">
        <v>1036</v>
      </c>
      <c r="B1149">
        <v>1</v>
      </c>
      <c r="C1149" t="s">
        <v>35</v>
      </c>
      <c r="D1149">
        <v>5.18</v>
      </c>
      <c r="E1149">
        <v>0.13200000000000001</v>
      </c>
      <c r="F1149">
        <v>393</v>
      </c>
      <c r="G1149">
        <v>150</v>
      </c>
      <c r="H1149" t="s">
        <v>20</v>
      </c>
      <c r="I1149">
        <v>62.03</v>
      </c>
      <c r="J1149">
        <v>71.5</v>
      </c>
      <c r="K1149" t="s">
        <v>22</v>
      </c>
      <c r="L1149">
        <v>22.13</v>
      </c>
      <c r="M1149">
        <v>7.4</v>
      </c>
      <c r="N1149" t="s">
        <v>32</v>
      </c>
      <c r="O1149" t="s">
        <v>22</v>
      </c>
      <c r="P1149" t="s">
        <v>22</v>
      </c>
      <c r="Q1149" t="s">
        <v>22</v>
      </c>
      <c r="R1149">
        <v>50</v>
      </c>
      <c r="S1149">
        <v>0.109</v>
      </c>
    </row>
    <row r="1150" spans="1:19" x14ac:dyDescent="0.25">
      <c r="A1150">
        <v>1036</v>
      </c>
      <c r="B1150">
        <v>1</v>
      </c>
      <c r="C1150" t="s">
        <v>40</v>
      </c>
      <c r="D1150">
        <v>6.04</v>
      </c>
      <c r="E1150">
        <v>3.8E-3</v>
      </c>
      <c r="F1150">
        <v>400</v>
      </c>
      <c r="G1150">
        <v>150</v>
      </c>
      <c r="H1150" t="s">
        <v>20</v>
      </c>
      <c r="I1150">
        <v>62.03</v>
      </c>
      <c r="J1150">
        <v>71.5</v>
      </c>
      <c r="K1150" t="s">
        <v>22</v>
      </c>
      <c r="L1150">
        <v>22.13</v>
      </c>
      <c r="M1150">
        <v>7.4</v>
      </c>
      <c r="N1150" t="s">
        <v>38</v>
      </c>
      <c r="O1150" t="s">
        <v>22</v>
      </c>
      <c r="P1150" t="s">
        <v>22</v>
      </c>
      <c r="Q1150" t="s">
        <v>22</v>
      </c>
      <c r="R1150">
        <v>50</v>
      </c>
      <c r="S1150">
        <v>0.12640000000000001</v>
      </c>
    </row>
    <row r="1151" spans="1:19" x14ac:dyDescent="0.25">
      <c r="A1151">
        <v>1036</v>
      </c>
      <c r="B1151">
        <v>1</v>
      </c>
      <c r="C1151" t="s">
        <v>42</v>
      </c>
      <c r="D1151">
        <v>6.5</v>
      </c>
      <c r="E1151">
        <v>2.5999999999999998E-4</v>
      </c>
      <c r="F1151">
        <v>400</v>
      </c>
      <c r="G1151">
        <v>200</v>
      </c>
      <c r="H1151" t="s">
        <v>20</v>
      </c>
      <c r="I1151">
        <v>62.03</v>
      </c>
      <c r="J1151">
        <v>71.5</v>
      </c>
      <c r="K1151" t="s">
        <v>22</v>
      </c>
      <c r="L1151">
        <v>22.13</v>
      </c>
      <c r="M1151">
        <v>7.4</v>
      </c>
      <c r="N1151" t="s">
        <v>43</v>
      </c>
      <c r="O1151" t="s">
        <v>22</v>
      </c>
      <c r="P1151" t="s">
        <v>22</v>
      </c>
      <c r="Q1151" t="s">
        <v>22</v>
      </c>
      <c r="R1151">
        <v>50</v>
      </c>
      <c r="S1151">
        <v>0.10780000000000001</v>
      </c>
    </row>
    <row r="1152" spans="1:19" x14ac:dyDescent="0.25">
      <c r="A1152">
        <v>1036</v>
      </c>
      <c r="B1152">
        <v>1</v>
      </c>
      <c r="C1152" t="s">
        <v>35</v>
      </c>
      <c r="D1152">
        <v>5.18</v>
      </c>
      <c r="E1152">
        <v>0.13200000000000001</v>
      </c>
      <c r="F1152">
        <v>393</v>
      </c>
      <c r="G1152">
        <v>150</v>
      </c>
      <c r="H1152" t="s">
        <v>20</v>
      </c>
      <c r="I1152">
        <v>62.03</v>
      </c>
      <c r="J1152">
        <v>71.5</v>
      </c>
      <c r="K1152" t="s">
        <v>22</v>
      </c>
      <c r="L1152">
        <v>22.13</v>
      </c>
      <c r="M1152">
        <v>7.4</v>
      </c>
      <c r="N1152" t="s">
        <v>32</v>
      </c>
      <c r="O1152" t="s">
        <v>22</v>
      </c>
      <c r="P1152" t="s">
        <v>22</v>
      </c>
      <c r="Q1152" t="s">
        <v>22</v>
      </c>
      <c r="R1152">
        <v>50</v>
      </c>
      <c r="S1152">
        <v>0.14380000000000001</v>
      </c>
    </row>
    <row r="1153" spans="1:19" x14ac:dyDescent="0.25">
      <c r="A1153">
        <v>1036</v>
      </c>
      <c r="B1153">
        <v>1</v>
      </c>
      <c r="C1153" t="s">
        <v>40</v>
      </c>
      <c r="D1153">
        <v>6.04</v>
      </c>
      <c r="E1153">
        <v>3.8E-3</v>
      </c>
      <c r="F1153">
        <v>400</v>
      </c>
      <c r="G1153">
        <v>150</v>
      </c>
      <c r="H1153" t="s">
        <v>20</v>
      </c>
      <c r="I1153">
        <v>62.03</v>
      </c>
      <c r="J1153">
        <v>71.5</v>
      </c>
      <c r="K1153" t="s">
        <v>22</v>
      </c>
      <c r="L1153">
        <v>22.13</v>
      </c>
      <c r="M1153">
        <v>7.4</v>
      </c>
      <c r="N1153" t="s">
        <v>38</v>
      </c>
      <c r="O1153" t="s">
        <v>22</v>
      </c>
      <c r="P1153" t="s">
        <v>22</v>
      </c>
      <c r="Q1153" t="s">
        <v>22</v>
      </c>
      <c r="R1153">
        <v>50</v>
      </c>
      <c r="S1153">
        <v>0.12920000000000001</v>
      </c>
    </row>
    <row r="1154" spans="1:19" x14ac:dyDescent="0.25">
      <c r="A1154">
        <v>1036</v>
      </c>
      <c r="B1154">
        <v>1</v>
      </c>
      <c r="C1154" t="s">
        <v>42</v>
      </c>
      <c r="D1154">
        <v>6.5</v>
      </c>
      <c r="E1154">
        <v>2.5999999999999998E-4</v>
      </c>
      <c r="F1154">
        <v>400</v>
      </c>
      <c r="G1154">
        <v>200</v>
      </c>
      <c r="H1154" t="s">
        <v>20</v>
      </c>
      <c r="I1154">
        <v>62.03</v>
      </c>
      <c r="J1154">
        <v>71.5</v>
      </c>
      <c r="K1154" t="s">
        <v>22</v>
      </c>
      <c r="L1154">
        <v>22.13</v>
      </c>
      <c r="M1154">
        <v>7.4</v>
      </c>
      <c r="N1154" t="s">
        <v>43</v>
      </c>
      <c r="O1154" t="s">
        <v>22</v>
      </c>
      <c r="P1154" t="s">
        <v>22</v>
      </c>
      <c r="Q1154" t="s">
        <v>22</v>
      </c>
      <c r="R1154">
        <v>50</v>
      </c>
      <c r="S1154">
        <v>0.1326</v>
      </c>
    </row>
    <row r="1155" spans="1:19" x14ac:dyDescent="0.25">
      <c r="A1155">
        <v>1036</v>
      </c>
      <c r="B1155">
        <v>1</v>
      </c>
      <c r="C1155" t="s">
        <v>35</v>
      </c>
      <c r="D1155">
        <v>5.18</v>
      </c>
      <c r="E1155">
        <v>0.13200000000000001</v>
      </c>
      <c r="F1155">
        <v>393</v>
      </c>
      <c r="G1155">
        <v>150</v>
      </c>
      <c r="H1155" t="s">
        <v>20</v>
      </c>
      <c r="I1155">
        <v>62.03</v>
      </c>
      <c r="J1155">
        <v>71.5</v>
      </c>
      <c r="K1155" t="s">
        <v>22</v>
      </c>
      <c r="L1155">
        <v>22.13</v>
      </c>
      <c r="M1155">
        <v>7.4</v>
      </c>
      <c r="N1155" t="s">
        <v>32</v>
      </c>
      <c r="O1155" t="s">
        <v>22</v>
      </c>
      <c r="P1155" t="s">
        <v>22</v>
      </c>
      <c r="Q1155" t="s">
        <v>22</v>
      </c>
      <c r="R1155">
        <v>50</v>
      </c>
      <c r="S1155">
        <v>0.3548</v>
      </c>
    </row>
    <row r="1156" spans="1:19" x14ac:dyDescent="0.25">
      <c r="A1156">
        <v>1036</v>
      </c>
      <c r="B1156">
        <v>1</v>
      </c>
      <c r="C1156" t="s">
        <v>40</v>
      </c>
      <c r="D1156">
        <v>6.04</v>
      </c>
      <c r="E1156">
        <v>3.8E-3</v>
      </c>
      <c r="F1156">
        <v>400</v>
      </c>
      <c r="G1156">
        <v>150</v>
      </c>
      <c r="H1156" t="s">
        <v>20</v>
      </c>
      <c r="I1156">
        <v>62.03</v>
      </c>
      <c r="J1156">
        <v>71.5</v>
      </c>
      <c r="K1156" t="s">
        <v>22</v>
      </c>
      <c r="L1156">
        <v>22.13</v>
      </c>
      <c r="M1156">
        <v>7.4</v>
      </c>
      <c r="N1156" t="s">
        <v>38</v>
      </c>
      <c r="O1156" t="s">
        <v>22</v>
      </c>
      <c r="P1156" t="s">
        <v>22</v>
      </c>
      <c r="Q1156" t="s">
        <v>22</v>
      </c>
      <c r="R1156">
        <v>50</v>
      </c>
      <c r="S1156">
        <v>0.2742</v>
      </c>
    </row>
    <row r="1157" spans="1:19" x14ac:dyDescent="0.25">
      <c r="A1157">
        <v>1036</v>
      </c>
      <c r="B1157">
        <v>1</v>
      </c>
      <c r="C1157" t="s">
        <v>42</v>
      </c>
      <c r="D1157">
        <v>6.5</v>
      </c>
      <c r="E1157">
        <v>2.5999999999999998E-4</v>
      </c>
      <c r="F1157">
        <v>400</v>
      </c>
      <c r="G1157">
        <v>200</v>
      </c>
      <c r="H1157" t="s">
        <v>20</v>
      </c>
      <c r="I1157">
        <v>62.03</v>
      </c>
      <c r="J1157">
        <v>71.5</v>
      </c>
      <c r="K1157" t="s">
        <v>22</v>
      </c>
      <c r="L1157">
        <v>22.13</v>
      </c>
      <c r="M1157">
        <v>7.4</v>
      </c>
      <c r="N1157" t="s">
        <v>43</v>
      </c>
      <c r="O1157" t="s">
        <v>22</v>
      </c>
      <c r="P1157" t="s">
        <v>22</v>
      </c>
      <c r="Q1157" t="s">
        <v>22</v>
      </c>
      <c r="R1157">
        <v>50</v>
      </c>
      <c r="S1157">
        <v>0.2046</v>
      </c>
    </row>
    <row r="1158" spans="1:19" x14ac:dyDescent="0.25">
      <c r="A1158">
        <v>1036</v>
      </c>
      <c r="B1158">
        <v>1</v>
      </c>
      <c r="C1158" t="s">
        <v>35</v>
      </c>
      <c r="D1158">
        <v>5.18</v>
      </c>
      <c r="E1158">
        <v>0.13200000000000001</v>
      </c>
      <c r="F1158">
        <v>393</v>
      </c>
      <c r="G1158">
        <v>150</v>
      </c>
      <c r="H1158" t="s">
        <v>20</v>
      </c>
      <c r="I1158">
        <v>62.03</v>
      </c>
      <c r="J1158">
        <v>71.5</v>
      </c>
      <c r="K1158" t="s">
        <v>22</v>
      </c>
      <c r="L1158">
        <v>22.13</v>
      </c>
      <c r="M1158">
        <v>7.4</v>
      </c>
      <c r="N1158" t="s">
        <v>32</v>
      </c>
      <c r="O1158" t="s">
        <v>22</v>
      </c>
      <c r="P1158" t="s">
        <v>22</v>
      </c>
      <c r="Q1158" t="s">
        <v>22</v>
      </c>
      <c r="R1158">
        <v>50</v>
      </c>
      <c r="S1158">
        <v>0.32229999999999998</v>
      </c>
    </row>
    <row r="1159" spans="1:19" x14ac:dyDescent="0.25">
      <c r="A1159">
        <v>1036</v>
      </c>
      <c r="B1159">
        <v>1</v>
      </c>
      <c r="C1159" t="s">
        <v>40</v>
      </c>
      <c r="D1159">
        <v>6.04</v>
      </c>
      <c r="E1159">
        <v>3.8E-3</v>
      </c>
      <c r="F1159">
        <v>400</v>
      </c>
      <c r="G1159">
        <v>150</v>
      </c>
      <c r="H1159" t="s">
        <v>20</v>
      </c>
      <c r="I1159">
        <v>62.03</v>
      </c>
      <c r="J1159">
        <v>71.5</v>
      </c>
      <c r="K1159" t="s">
        <v>22</v>
      </c>
      <c r="L1159">
        <v>22.13</v>
      </c>
      <c r="M1159">
        <v>7.4</v>
      </c>
      <c r="N1159" t="s">
        <v>38</v>
      </c>
      <c r="O1159" t="s">
        <v>22</v>
      </c>
      <c r="P1159" t="s">
        <v>22</v>
      </c>
      <c r="Q1159" t="s">
        <v>22</v>
      </c>
      <c r="R1159">
        <v>50</v>
      </c>
      <c r="S1159">
        <v>0.21240000000000001</v>
      </c>
    </row>
    <row r="1160" spans="1:19" x14ac:dyDescent="0.25">
      <c r="A1160">
        <v>1036</v>
      </c>
      <c r="B1160">
        <v>1</v>
      </c>
      <c r="C1160" t="s">
        <v>42</v>
      </c>
      <c r="D1160">
        <v>6.5</v>
      </c>
      <c r="E1160">
        <v>2.5999999999999998E-4</v>
      </c>
      <c r="F1160">
        <v>400</v>
      </c>
      <c r="G1160">
        <v>200</v>
      </c>
      <c r="H1160" t="s">
        <v>20</v>
      </c>
      <c r="I1160">
        <v>62.03</v>
      </c>
      <c r="J1160">
        <v>71.5</v>
      </c>
      <c r="K1160" t="s">
        <v>22</v>
      </c>
      <c r="L1160">
        <v>22.13</v>
      </c>
      <c r="M1160">
        <v>7.4</v>
      </c>
      <c r="N1160" t="s">
        <v>43</v>
      </c>
      <c r="O1160" t="s">
        <v>22</v>
      </c>
      <c r="P1160" t="s">
        <v>22</v>
      </c>
      <c r="Q1160" t="s">
        <v>22</v>
      </c>
      <c r="R1160">
        <v>50</v>
      </c>
      <c r="S1160">
        <v>0.20230000000000001</v>
      </c>
    </row>
    <row r="1161" spans="1:19" x14ac:dyDescent="0.25">
      <c r="A1161">
        <v>1036</v>
      </c>
      <c r="B1161">
        <v>1</v>
      </c>
      <c r="C1161" t="s">
        <v>35</v>
      </c>
      <c r="D1161">
        <v>5.18</v>
      </c>
      <c r="E1161">
        <v>0.13200000000000001</v>
      </c>
      <c r="F1161">
        <v>393</v>
      </c>
      <c r="G1161">
        <v>150</v>
      </c>
      <c r="H1161" t="s">
        <v>20</v>
      </c>
      <c r="I1161">
        <v>62.03</v>
      </c>
      <c r="J1161">
        <v>71.5</v>
      </c>
      <c r="K1161" t="s">
        <v>22</v>
      </c>
      <c r="L1161">
        <v>22.13</v>
      </c>
      <c r="M1161">
        <v>7.4</v>
      </c>
      <c r="N1161" t="s">
        <v>32</v>
      </c>
      <c r="O1161" t="s">
        <v>22</v>
      </c>
      <c r="P1161" t="s">
        <v>22</v>
      </c>
      <c r="Q1161" t="s">
        <v>22</v>
      </c>
      <c r="R1161">
        <v>50</v>
      </c>
      <c r="S1161">
        <v>4.9099999999999998E-2</v>
      </c>
    </row>
    <row r="1162" spans="1:19" x14ac:dyDescent="0.25">
      <c r="A1162">
        <v>1036</v>
      </c>
      <c r="B1162">
        <v>1</v>
      </c>
      <c r="C1162" t="s">
        <v>40</v>
      </c>
      <c r="D1162">
        <v>6.04</v>
      </c>
      <c r="E1162">
        <v>3.8E-3</v>
      </c>
      <c r="F1162">
        <v>400</v>
      </c>
      <c r="G1162">
        <v>150</v>
      </c>
      <c r="H1162" t="s">
        <v>20</v>
      </c>
      <c r="I1162">
        <v>62.03</v>
      </c>
      <c r="J1162">
        <v>71.5</v>
      </c>
      <c r="K1162" t="s">
        <v>22</v>
      </c>
      <c r="L1162">
        <v>22.13</v>
      </c>
      <c r="M1162">
        <v>7.4</v>
      </c>
      <c r="N1162" t="s">
        <v>38</v>
      </c>
      <c r="O1162" t="s">
        <v>22</v>
      </c>
      <c r="P1162" t="s">
        <v>22</v>
      </c>
      <c r="Q1162" t="s">
        <v>22</v>
      </c>
      <c r="R1162">
        <v>50</v>
      </c>
      <c r="S1162">
        <v>4.8399999999999999E-2</v>
      </c>
    </row>
    <row r="1163" spans="1:19" x14ac:dyDescent="0.25">
      <c r="A1163">
        <v>1036</v>
      </c>
      <c r="B1163">
        <v>1</v>
      </c>
      <c r="C1163" t="s">
        <v>42</v>
      </c>
      <c r="D1163">
        <v>6.5</v>
      </c>
      <c r="E1163">
        <v>2.5999999999999998E-4</v>
      </c>
      <c r="F1163">
        <v>400</v>
      </c>
      <c r="G1163">
        <v>200</v>
      </c>
      <c r="H1163" t="s">
        <v>20</v>
      </c>
      <c r="I1163">
        <v>62.03</v>
      </c>
      <c r="J1163">
        <v>71.5</v>
      </c>
      <c r="K1163" t="s">
        <v>22</v>
      </c>
      <c r="L1163">
        <v>22.13</v>
      </c>
      <c r="M1163">
        <v>7.4</v>
      </c>
      <c r="N1163" t="s">
        <v>43</v>
      </c>
      <c r="O1163" t="s">
        <v>22</v>
      </c>
      <c r="P1163" t="s">
        <v>22</v>
      </c>
      <c r="Q1163" t="s">
        <v>22</v>
      </c>
      <c r="R1163">
        <v>50</v>
      </c>
      <c r="S1163">
        <v>6.0999999999999999E-2</v>
      </c>
    </row>
    <row r="1164" spans="1:19" x14ac:dyDescent="0.25">
      <c r="A1164">
        <v>1036</v>
      </c>
      <c r="B1164">
        <v>1</v>
      </c>
      <c r="C1164" t="s">
        <v>35</v>
      </c>
      <c r="D1164">
        <v>5.18</v>
      </c>
      <c r="E1164">
        <v>0.13200000000000001</v>
      </c>
      <c r="F1164">
        <v>393</v>
      </c>
      <c r="G1164">
        <v>150</v>
      </c>
      <c r="H1164" t="s">
        <v>20</v>
      </c>
      <c r="I1164">
        <v>62.03</v>
      </c>
      <c r="J1164">
        <v>71.5</v>
      </c>
      <c r="K1164" t="s">
        <v>22</v>
      </c>
      <c r="L1164">
        <v>22.13</v>
      </c>
      <c r="M1164">
        <v>7.4</v>
      </c>
      <c r="N1164" t="s">
        <v>32</v>
      </c>
      <c r="O1164" t="s">
        <v>22</v>
      </c>
      <c r="P1164" t="s">
        <v>22</v>
      </c>
      <c r="Q1164" t="s">
        <v>22</v>
      </c>
      <c r="R1164">
        <v>50</v>
      </c>
      <c r="S1164">
        <v>0.28660000000000002</v>
      </c>
    </row>
    <row r="1165" spans="1:19" x14ac:dyDescent="0.25">
      <c r="A1165">
        <v>1036</v>
      </c>
      <c r="B1165">
        <v>1</v>
      </c>
      <c r="C1165" t="s">
        <v>40</v>
      </c>
      <c r="D1165">
        <v>6.04</v>
      </c>
      <c r="E1165">
        <v>3.8E-3</v>
      </c>
      <c r="F1165">
        <v>400</v>
      </c>
      <c r="G1165">
        <v>150</v>
      </c>
      <c r="H1165" t="s">
        <v>20</v>
      </c>
      <c r="I1165">
        <v>62.03</v>
      </c>
      <c r="J1165">
        <v>71.5</v>
      </c>
      <c r="K1165" t="s">
        <v>22</v>
      </c>
      <c r="L1165">
        <v>22.13</v>
      </c>
      <c r="M1165">
        <v>7.4</v>
      </c>
      <c r="N1165" t="s">
        <v>38</v>
      </c>
      <c r="O1165" t="s">
        <v>22</v>
      </c>
      <c r="P1165" t="s">
        <v>22</v>
      </c>
      <c r="Q1165" t="s">
        <v>22</v>
      </c>
      <c r="R1165">
        <v>50</v>
      </c>
      <c r="S1165">
        <v>0.23200000000000001</v>
      </c>
    </row>
    <row r="1166" spans="1:19" x14ac:dyDescent="0.25">
      <c r="A1166">
        <v>1036</v>
      </c>
      <c r="B1166">
        <v>1</v>
      </c>
      <c r="C1166" t="s">
        <v>42</v>
      </c>
      <c r="D1166">
        <v>6.5</v>
      </c>
      <c r="E1166">
        <v>2.5999999999999998E-4</v>
      </c>
      <c r="F1166">
        <v>400</v>
      </c>
      <c r="G1166">
        <v>200</v>
      </c>
      <c r="H1166" t="s">
        <v>20</v>
      </c>
      <c r="I1166">
        <v>62.03</v>
      </c>
      <c r="J1166">
        <v>71.5</v>
      </c>
      <c r="K1166" t="s">
        <v>22</v>
      </c>
      <c r="L1166">
        <v>22.13</v>
      </c>
      <c r="M1166">
        <v>7.4</v>
      </c>
      <c r="N1166" t="s">
        <v>43</v>
      </c>
      <c r="O1166" t="s">
        <v>22</v>
      </c>
      <c r="P1166" t="s">
        <v>22</v>
      </c>
      <c r="Q1166" t="s">
        <v>22</v>
      </c>
      <c r="R1166">
        <v>50</v>
      </c>
      <c r="S1166">
        <v>0.22500000000000001</v>
      </c>
    </row>
    <row r="1167" spans="1:19" x14ac:dyDescent="0.25">
      <c r="A1167">
        <v>1036</v>
      </c>
      <c r="B1167">
        <v>1</v>
      </c>
      <c r="C1167" t="s">
        <v>35</v>
      </c>
      <c r="D1167">
        <v>5.18</v>
      </c>
      <c r="E1167">
        <v>0.13200000000000001</v>
      </c>
      <c r="F1167">
        <v>393</v>
      </c>
      <c r="G1167">
        <v>150</v>
      </c>
      <c r="H1167" t="s">
        <v>20</v>
      </c>
      <c r="I1167">
        <v>62.03</v>
      </c>
      <c r="J1167">
        <v>71.5</v>
      </c>
      <c r="K1167" t="s">
        <v>22</v>
      </c>
      <c r="L1167">
        <v>22.13</v>
      </c>
      <c r="M1167">
        <v>7.4</v>
      </c>
      <c r="N1167" t="s">
        <v>32</v>
      </c>
      <c r="O1167" t="s">
        <v>22</v>
      </c>
      <c r="P1167" t="s">
        <v>22</v>
      </c>
      <c r="Q1167" t="s">
        <v>22</v>
      </c>
      <c r="R1167">
        <v>50</v>
      </c>
      <c r="S1167">
        <v>0.109</v>
      </c>
    </row>
    <row r="1168" spans="1:19" x14ac:dyDescent="0.25">
      <c r="A1168">
        <v>1036</v>
      </c>
      <c r="B1168">
        <v>1</v>
      </c>
      <c r="C1168" t="s">
        <v>40</v>
      </c>
      <c r="D1168">
        <v>6.04</v>
      </c>
      <c r="E1168">
        <v>3.8E-3</v>
      </c>
      <c r="F1168">
        <v>400</v>
      </c>
      <c r="G1168">
        <v>150</v>
      </c>
      <c r="H1168" t="s">
        <v>20</v>
      </c>
      <c r="I1168">
        <v>62.03</v>
      </c>
      <c r="J1168">
        <v>71.5</v>
      </c>
      <c r="K1168" t="s">
        <v>22</v>
      </c>
      <c r="L1168">
        <v>22.13</v>
      </c>
      <c r="M1168">
        <v>7.4</v>
      </c>
      <c r="N1168" t="s">
        <v>38</v>
      </c>
      <c r="O1168" t="s">
        <v>22</v>
      </c>
      <c r="P1168" t="s">
        <v>22</v>
      </c>
      <c r="Q1168" t="s">
        <v>22</v>
      </c>
      <c r="R1168">
        <v>50</v>
      </c>
      <c r="S1168">
        <v>0.12640000000000001</v>
      </c>
    </row>
    <row r="1169" spans="1:19" x14ac:dyDescent="0.25">
      <c r="A1169">
        <v>1036</v>
      </c>
      <c r="B1169">
        <v>1</v>
      </c>
      <c r="C1169" t="s">
        <v>42</v>
      </c>
      <c r="D1169">
        <v>6.5</v>
      </c>
      <c r="E1169">
        <v>2.5999999999999998E-4</v>
      </c>
      <c r="F1169">
        <v>400</v>
      </c>
      <c r="G1169">
        <v>200</v>
      </c>
      <c r="H1169" t="s">
        <v>20</v>
      </c>
      <c r="I1169">
        <v>62.03</v>
      </c>
      <c r="J1169">
        <v>71.5</v>
      </c>
      <c r="K1169" t="s">
        <v>22</v>
      </c>
      <c r="L1169">
        <v>22.13</v>
      </c>
      <c r="M1169">
        <v>7.4</v>
      </c>
      <c r="N1169" t="s">
        <v>43</v>
      </c>
      <c r="O1169" t="s">
        <v>22</v>
      </c>
      <c r="P1169" t="s">
        <v>22</v>
      </c>
      <c r="Q1169" t="s">
        <v>22</v>
      </c>
      <c r="R1169">
        <v>50</v>
      </c>
      <c r="S1169">
        <v>0.10780000000000001</v>
      </c>
    </row>
    <row r="1170" spans="1:19" x14ac:dyDescent="0.25">
      <c r="A1170">
        <v>1036</v>
      </c>
      <c r="B1170">
        <v>1</v>
      </c>
      <c r="C1170" t="s">
        <v>35</v>
      </c>
      <c r="D1170">
        <v>5.18</v>
      </c>
      <c r="E1170">
        <v>0.13200000000000001</v>
      </c>
      <c r="F1170">
        <v>393</v>
      </c>
      <c r="G1170">
        <v>150</v>
      </c>
      <c r="H1170" t="s">
        <v>20</v>
      </c>
      <c r="I1170">
        <v>62.03</v>
      </c>
      <c r="J1170">
        <v>71.5</v>
      </c>
      <c r="K1170" t="s">
        <v>22</v>
      </c>
      <c r="L1170">
        <v>22.13</v>
      </c>
      <c r="M1170">
        <v>7.4</v>
      </c>
      <c r="N1170" t="s">
        <v>32</v>
      </c>
      <c r="O1170" t="s">
        <v>22</v>
      </c>
      <c r="P1170" t="s">
        <v>22</v>
      </c>
      <c r="Q1170" t="s">
        <v>22</v>
      </c>
      <c r="R1170">
        <v>50</v>
      </c>
      <c r="S1170">
        <v>0.14380000000000001</v>
      </c>
    </row>
    <row r="1171" spans="1:19" x14ac:dyDescent="0.25">
      <c r="A1171">
        <v>1036</v>
      </c>
      <c r="B1171">
        <v>1</v>
      </c>
      <c r="C1171" t="s">
        <v>40</v>
      </c>
      <c r="D1171">
        <v>6.04</v>
      </c>
      <c r="E1171">
        <v>3.8E-3</v>
      </c>
      <c r="F1171">
        <v>400</v>
      </c>
      <c r="G1171">
        <v>150</v>
      </c>
      <c r="H1171" t="s">
        <v>20</v>
      </c>
      <c r="I1171">
        <v>62.03</v>
      </c>
      <c r="J1171">
        <v>71.5</v>
      </c>
      <c r="K1171" t="s">
        <v>22</v>
      </c>
      <c r="L1171">
        <v>22.13</v>
      </c>
      <c r="M1171">
        <v>7.4</v>
      </c>
      <c r="N1171" t="s">
        <v>38</v>
      </c>
      <c r="O1171" t="s">
        <v>22</v>
      </c>
      <c r="P1171" t="s">
        <v>22</v>
      </c>
      <c r="Q1171" t="s">
        <v>22</v>
      </c>
      <c r="R1171">
        <v>50</v>
      </c>
      <c r="S1171">
        <v>0.12920000000000001</v>
      </c>
    </row>
    <row r="1172" spans="1:19" x14ac:dyDescent="0.25">
      <c r="A1172">
        <v>1036</v>
      </c>
      <c r="B1172">
        <v>1</v>
      </c>
      <c r="C1172" t="s">
        <v>42</v>
      </c>
      <c r="D1172">
        <v>6.5</v>
      </c>
      <c r="E1172">
        <v>2.5999999999999998E-4</v>
      </c>
      <c r="F1172">
        <v>400</v>
      </c>
      <c r="G1172">
        <v>200</v>
      </c>
      <c r="H1172" t="s">
        <v>20</v>
      </c>
      <c r="I1172">
        <v>62.03</v>
      </c>
      <c r="J1172">
        <v>71.5</v>
      </c>
      <c r="K1172" t="s">
        <v>22</v>
      </c>
      <c r="L1172">
        <v>22.13</v>
      </c>
      <c r="M1172">
        <v>7.4</v>
      </c>
      <c r="N1172" t="s">
        <v>43</v>
      </c>
      <c r="O1172" t="s">
        <v>22</v>
      </c>
      <c r="P1172" t="s">
        <v>22</v>
      </c>
      <c r="Q1172" t="s">
        <v>22</v>
      </c>
      <c r="R1172">
        <v>50</v>
      </c>
      <c r="S1172">
        <v>0.1326</v>
      </c>
    </row>
    <row r="1173" spans="1:19" x14ac:dyDescent="0.25">
      <c r="A1173">
        <v>1036</v>
      </c>
      <c r="B1173">
        <v>1</v>
      </c>
      <c r="C1173" t="s">
        <v>35</v>
      </c>
      <c r="D1173">
        <v>5.18</v>
      </c>
      <c r="E1173">
        <v>0.13200000000000001</v>
      </c>
      <c r="F1173">
        <v>393</v>
      </c>
      <c r="G1173">
        <v>150</v>
      </c>
      <c r="H1173" t="s">
        <v>20</v>
      </c>
      <c r="I1173">
        <v>62.03</v>
      </c>
      <c r="J1173">
        <v>71.5</v>
      </c>
      <c r="K1173" t="s">
        <v>22</v>
      </c>
      <c r="L1173">
        <v>22.13</v>
      </c>
      <c r="M1173">
        <v>7.4</v>
      </c>
      <c r="N1173" t="s">
        <v>32</v>
      </c>
      <c r="O1173" t="s">
        <v>22</v>
      </c>
      <c r="P1173" t="s">
        <v>22</v>
      </c>
      <c r="Q1173" t="s">
        <v>22</v>
      </c>
      <c r="R1173">
        <v>50</v>
      </c>
      <c r="S1173">
        <v>0.40250000000000002</v>
      </c>
    </row>
    <row r="1174" spans="1:19" x14ac:dyDescent="0.25">
      <c r="A1174">
        <v>1036</v>
      </c>
      <c r="B1174">
        <v>1</v>
      </c>
      <c r="C1174" t="s">
        <v>40</v>
      </c>
      <c r="D1174">
        <v>6.04</v>
      </c>
      <c r="E1174">
        <v>3.8E-3</v>
      </c>
      <c r="F1174">
        <v>400</v>
      </c>
      <c r="G1174">
        <v>150</v>
      </c>
      <c r="H1174" t="s">
        <v>20</v>
      </c>
      <c r="I1174">
        <v>62.03</v>
      </c>
      <c r="J1174">
        <v>71.5</v>
      </c>
      <c r="K1174" t="s">
        <v>22</v>
      </c>
      <c r="L1174">
        <v>22.13</v>
      </c>
      <c r="M1174">
        <v>7.4</v>
      </c>
      <c r="N1174" t="s">
        <v>38</v>
      </c>
      <c r="O1174" t="s">
        <v>22</v>
      </c>
      <c r="P1174" t="s">
        <v>22</v>
      </c>
      <c r="Q1174" t="s">
        <v>22</v>
      </c>
      <c r="R1174">
        <v>50</v>
      </c>
      <c r="S1174">
        <v>0.39029999999999998</v>
      </c>
    </row>
    <row r="1175" spans="1:19" x14ac:dyDescent="0.25">
      <c r="A1175">
        <v>1036</v>
      </c>
      <c r="B1175">
        <v>1</v>
      </c>
      <c r="C1175" t="s">
        <v>42</v>
      </c>
      <c r="D1175">
        <v>6.5</v>
      </c>
      <c r="E1175">
        <v>2.5999999999999998E-4</v>
      </c>
      <c r="F1175">
        <v>400</v>
      </c>
      <c r="G1175">
        <v>200</v>
      </c>
      <c r="H1175" t="s">
        <v>20</v>
      </c>
      <c r="I1175">
        <v>62.03</v>
      </c>
      <c r="J1175">
        <v>71.5</v>
      </c>
      <c r="K1175" t="s">
        <v>22</v>
      </c>
      <c r="L1175">
        <v>22.13</v>
      </c>
      <c r="M1175">
        <v>7.4</v>
      </c>
      <c r="N1175" t="s">
        <v>43</v>
      </c>
      <c r="O1175" t="s">
        <v>22</v>
      </c>
      <c r="P1175" t="s">
        <v>22</v>
      </c>
      <c r="Q1175" t="s">
        <v>22</v>
      </c>
      <c r="R1175">
        <v>50</v>
      </c>
      <c r="S1175">
        <v>0.26269999999999999</v>
      </c>
    </row>
    <row r="1176" spans="1:19" x14ac:dyDescent="0.25">
      <c r="A1176">
        <v>1036</v>
      </c>
      <c r="B1176">
        <v>1</v>
      </c>
      <c r="C1176" t="s">
        <v>35</v>
      </c>
      <c r="D1176">
        <v>5.18</v>
      </c>
      <c r="E1176">
        <v>0.13200000000000001</v>
      </c>
      <c r="F1176">
        <v>393</v>
      </c>
      <c r="G1176">
        <v>150</v>
      </c>
      <c r="H1176" t="s">
        <v>20</v>
      </c>
      <c r="I1176">
        <v>62.03</v>
      </c>
      <c r="J1176">
        <v>71.5</v>
      </c>
      <c r="K1176" t="s">
        <v>22</v>
      </c>
      <c r="L1176">
        <v>22.13</v>
      </c>
      <c r="M1176">
        <v>7.4</v>
      </c>
      <c r="N1176" t="s">
        <v>32</v>
      </c>
      <c r="O1176" t="s">
        <v>22</v>
      </c>
      <c r="P1176" t="s">
        <v>22</v>
      </c>
      <c r="Q1176" t="s">
        <v>22</v>
      </c>
      <c r="R1176">
        <v>50</v>
      </c>
      <c r="S1176">
        <v>0.32669999999999999</v>
      </c>
    </row>
    <row r="1177" spans="1:19" x14ac:dyDescent="0.25">
      <c r="A1177">
        <v>1036</v>
      </c>
      <c r="B1177">
        <v>1</v>
      </c>
      <c r="C1177" t="s">
        <v>40</v>
      </c>
      <c r="D1177">
        <v>6.04</v>
      </c>
      <c r="E1177">
        <v>3.8E-3</v>
      </c>
      <c r="F1177">
        <v>400</v>
      </c>
      <c r="G1177">
        <v>150</v>
      </c>
      <c r="H1177" t="s">
        <v>20</v>
      </c>
      <c r="I1177">
        <v>62.03</v>
      </c>
      <c r="J1177">
        <v>71.5</v>
      </c>
      <c r="K1177" t="s">
        <v>22</v>
      </c>
      <c r="L1177">
        <v>22.13</v>
      </c>
      <c r="M1177">
        <v>7.4</v>
      </c>
      <c r="N1177" t="s">
        <v>38</v>
      </c>
      <c r="O1177" t="s">
        <v>22</v>
      </c>
      <c r="P1177" t="s">
        <v>22</v>
      </c>
      <c r="Q1177" t="s">
        <v>22</v>
      </c>
      <c r="R1177">
        <v>50</v>
      </c>
      <c r="S1177">
        <v>0.32500000000000001</v>
      </c>
    </row>
    <row r="1178" spans="1:19" x14ac:dyDescent="0.25">
      <c r="A1178">
        <v>1036</v>
      </c>
      <c r="B1178">
        <v>1</v>
      </c>
      <c r="C1178" t="s">
        <v>42</v>
      </c>
      <c r="D1178">
        <v>6.5</v>
      </c>
      <c r="E1178">
        <v>2.5999999999999998E-4</v>
      </c>
      <c r="F1178">
        <v>400</v>
      </c>
      <c r="G1178">
        <v>200</v>
      </c>
      <c r="H1178" t="s">
        <v>20</v>
      </c>
      <c r="I1178">
        <v>62.03</v>
      </c>
      <c r="J1178">
        <v>71.5</v>
      </c>
      <c r="K1178" t="s">
        <v>22</v>
      </c>
      <c r="L1178">
        <v>22.13</v>
      </c>
      <c r="M1178">
        <v>7.4</v>
      </c>
      <c r="N1178" t="s">
        <v>43</v>
      </c>
      <c r="O1178" t="s">
        <v>22</v>
      </c>
      <c r="P1178" t="s">
        <v>22</v>
      </c>
      <c r="Q1178" t="s">
        <v>22</v>
      </c>
      <c r="R1178">
        <v>50</v>
      </c>
      <c r="S1178">
        <v>0.28060000000000002</v>
      </c>
    </row>
    <row r="1179" spans="1:19" x14ac:dyDescent="0.25">
      <c r="A1179">
        <v>1037</v>
      </c>
      <c r="B1179">
        <v>1</v>
      </c>
      <c r="C1179" t="s">
        <v>49</v>
      </c>
      <c r="D1179">
        <v>3.34</v>
      </c>
      <c r="E1179">
        <v>31.7</v>
      </c>
      <c r="F1179">
        <v>218</v>
      </c>
      <c r="G1179">
        <v>80.2</v>
      </c>
      <c r="H1179" t="s">
        <v>20</v>
      </c>
      <c r="I1179">
        <v>2.68</v>
      </c>
      <c r="J1179">
        <v>96.42</v>
      </c>
      <c r="K1179" t="s">
        <v>22</v>
      </c>
      <c r="L1179">
        <v>10.41</v>
      </c>
      <c r="M1179">
        <v>8.01</v>
      </c>
      <c r="N1179" t="s">
        <v>27</v>
      </c>
      <c r="O1179">
        <v>50</v>
      </c>
      <c r="P1179" t="s">
        <v>22</v>
      </c>
      <c r="Q1179">
        <v>37</v>
      </c>
      <c r="R1179">
        <v>60</v>
      </c>
      <c r="S1179">
        <v>0.93059999999999998</v>
      </c>
    </row>
    <row r="1180" spans="1:19" x14ac:dyDescent="0.25">
      <c r="A1180">
        <v>1037</v>
      </c>
      <c r="B1180">
        <v>1</v>
      </c>
      <c r="C1180" t="s">
        <v>50</v>
      </c>
      <c r="D1180">
        <v>4.41</v>
      </c>
      <c r="E1180">
        <v>3.93</v>
      </c>
      <c r="F1180">
        <v>123.98</v>
      </c>
      <c r="G1180">
        <v>307.2</v>
      </c>
      <c r="H1180" t="s">
        <v>20</v>
      </c>
      <c r="I1180">
        <v>2.68</v>
      </c>
      <c r="J1180">
        <v>96.42</v>
      </c>
      <c r="K1180" t="s">
        <v>22</v>
      </c>
      <c r="L1180">
        <v>10.41</v>
      </c>
      <c r="M1180">
        <v>8.01</v>
      </c>
      <c r="N1180" t="s">
        <v>29</v>
      </c>
      <c r="O1180">
        <v>50</v>
      </c>
      <c r="P1180" t="s">
        <v>22</v>
      </c>
      <c r="Q1180">
        <v>37</v>
      </c>
      <c r="R1180">
        <v>60</v>
      </c>
      <c r="S1180">
        <v>0.57389999999999997</v>
      </c>
    </row>
    <row r="1181" spans="1:19" x14ac:dyDescent="0.25">
      <c r="A1181">
        <v>1037</v>
      </c>
      <c r="B1181">
        <v>1</v>
      </c>
      <c r="C1181" t="s">
        <v>51</v>
      </c>
      <c r="D1181">
        <v>5.48</v>
      </c>
      <c r="E1181">
        <v>0.26</v>
      </c>
      <c r="F1181">
        <v>169</v>
      </c>
      <c r="G1181">
        <v>417.5</v>
      </c>
      <c r="H1181" t="s">
        <v>20</v>
      </c>
      <c r="I1181">
        <v>2.68</v>
      </c>
      <c r="J1181">
        <v>96.42</v>
      </c>
      <c r="K1181" t="s">
        <v>22</v>
      </c>
      <c r="L1181">
        <v>10.41</v>
      </c>
      <c r="M1181">
        <v>8.01</v>
      </c>
      <c r="N1181" t="s">
        <v>32</v>
      </c>
      <c r="O1181">
        <v>50</v>
      </c>
      <c r="P1181" t="s">
        <v>22</v>
      </c>
      <c r="Q1181">
        <v>37</v>
      </c>
      <c r="R1181">
        <v>60</v>
      </c>
      <c r="S1181">
        <v>0.47070000000000001</v>
      </c>
    </row>
    <row r="1182" spans="1:19" x14ac:dyDescent="0.25">
      <c r="A1182">
        <v>1037</v>
      </c>
      <c r="B1182">
        <v>1</v>
      </c>
      <c r="C1182" t="s">
        <v>52</v>
      </c>
      <c r="D1182">
        <v>6.37</v>
      </c>
      <c r="E1182">
        <v>3.8E-3</v>
      </c>
      <c r="F1182">
        <v>238.3</v>
      </c>
      <c r="G1182">
        <v>497.8</v>
      </c>
      <c r="H1182" t="s">
        <v>20</v>
      </c>
      <c r="I1182">
        <v>2.68</v>
      </c>
      <c r="J1182">
        <v>96.42</v>
      </c>
      <c r="K1182" t="s">
        <v>22</v>
      </c>
      <c r="L1182">
        <v>10.41</v>
      </c>
      <c r="M1182">
        <v>8.01</v>
      </c>
      <c r="N1182" t="s">
        <v>53</v>
      </c>
      <c r="O1182">
        <v>50</v>
      </c>
      <c r="P1182" t="s">
        <v>22</v>
      </c>
      <c r="Q1182">
        <v>37</v>
      </c>
      <c r="R1182">
        <v>60</v>
      </c>
      <c r="S1182">
        <v>0.28029999999999999</v>
      </c>
    </row>
    <row r="1183" spans="1:19" x14ac:dyDescent="0.25">
      <c r="A1183">
        <v>1037</v>
      </c>
      <c r="B1183">
        <v>1</v>
      </c>
      <c r="C1183" t="s">
        <v>49</v>
      </c>
      <c r="D1183">
        <v>3.34</v>
      </c>
      <c r="E1183">
        <v>31.7</v>
      </c>
      <c r="F1183">
        <v>218</v>
      </c>
      <c r="G1183">
        <v>80.2</v>
      </c>
      <c r="H1183" t="s">
        <v>20</v>
      </c>
      <c r="I1183">
        <v>2.68</v>
      </c>
      <c r="J1183">
        <v>96.42</v>
      </c>
      <c r="K1183" t="s">
        <v>22</v>
      </c>
      <c r="L1183">
        <v>10.41</v>
      </c>
      <c r="M1183">
        <v>8.01</v>
      </c>
      <c r="N1183" t="s">
        <v>27</v>
      </c>
      <c r="O1183">
        <v>50</v>
      </c>
      <c r="P1183" t="s">
        <v>22</v>
      </c>
      <c r="Q1183">
        <v>37</v>
      </c>
      <c r="R1183">
        <v>60</v>
      </c>
      <c r="S1183">
        <v>1</v>
      </c>
    </row>
    <row r="1184" spans="1:19" x14ac:dyDescent="0.25">
      <c r="A1184">
        <v>1037</v>
      </c>
      <c r="B1184">
        <v>1</v>
      </c>
      <c r="C1184" t="s">
        <v>50</v>
      </c>
      <c r="D1184">
        <v>4.41</v>
      </c>
      <c r="E1184">
        <v>3.93</v>
      </c>
      <c r="F1184">
        <v>123.98</v>
      </c>
      <c r="G1184">
        <v>307.2</v>
      </c>
      <c r="H1184" t="s">
        <v>20</v>
      </c>
      <c r="I1184">
        <v>2.68</v>
      </c>
      <c r="J1184">
        <v>96.42</v>
      </c>
      <c r="K1184" t="s">
        <v>22</v>
      </c>
      <c r="L1184">
        <v>10.41</v>
      </c>
      <c r="M1184">
        <v>8.01</v>
      </c>
      <c r="N1184" t="s">
        <v>29</v>
      </c>
      <c r="O1184">
        <v>50</v>
      </c>
      <c r="P1184" t="s">
        <v>22</v>
      </c>
      <c r="Q1184">
        <v>37</v>
      </c>
      <c r="R1184">
        <v>60</v>
      </c>
      <c r="S1184">
        <v>0.60270000000000001</v>
      </c>
    </row>
    <row r="1185" spans="1:19" x14ac:dyDescent="0.25">
      <c r="A1185">
        <v>1037</v>
      </c>
      <c r="B1185">
        <v>1</v>
      </c>
      <c r="C1185" t="s">
        <v>51</v>
      </c>
      <c r="D1185">
        <v>5.48</v>
      </c>
      <c r="E1185">
        <v>0.26</v>
      </c>
      <c r="F1185">
        <v>169</v>
      </c>
      <c r="G1185">
        <v>417.5</v>
      </c>
      <c r="H1185" t="s">
        <v>20</v>
      </c>
      <c r="I1185">
        <v>2.68</v>
      </c>
      <c r="J1185">
        <v>96.42</v>
      </c>
      <c r="K1185" t="s">
        <v>22</v>
      </c>
      <c r="L1185">
        <v>10.41</v>
      </c>
      <c r="M1185">
        <v>8.01</v>
      </c>
      <c r="N1185" t="s">
        <v>32</v>
      </c>
      <c r="O1185">
        <v>50</v>
      </c>
      <c r="P1185" t="s">
        <v>22</v>
      </c>
      <c r="Q1185">
        <v>37</v>
      </c>
      <c r="R1185">
        <v>60</v>
      </c>
      <c r="S1185">
        <v>0.55400000000000005</v>
      </c>
    </row>
    <row r="1186" spans="1:19" x14ac:dyDescent="0.25">
      <c r="A1186">
        <v>1037</v>
      </c>
      <c r="B1186">
        <v>1</v>
      </c>
      <c r="C1186" t="s">
        <v>52</v>
      </c>
      <c r="D1186">
        <v>6.37</v>
      </c>
      <c r="E1186">
        <v>3.8E-3</v>
      </c>
      <c r="F1186">
        <v>238.3</v>
      </c>
      <c r="G1186">
        <v>497.8</v>
      </c>
      <c r="H1186" t="s">
        <v>20</v>
      </c>
      <c r="I1186">
        <v>2.68</v>
      </c>
      <c r="J1186">
        <v>96.42</v>
      </c>
      <c r="K1186" t="s">
        <v>22</v>
      </c>
      <c r="L1186">
        <v>10.41</v>
      </c>
      <c r="M1186">
        <v>8.01</v>
      </c>
      <c r="N1186" t="s">
        <v>53</v>
      </c>
      <c r="O1186">
        <v>50</v>
      </c>
      <c r="P1186" t="s">
        <v>22</v>
      </c>
      <c r="Q1186">
        <v>37</v>
      </c>
      <c r="R1186">
        <v>60</v>
      </c>
      <c r="S1186">
        <v>0.35930000000000001</v>
      </c>
    </row>
    <row r="1187" spans="1:19" x14ac:dyDescent="0.25">
      <c r="A1187">
        <v>1037</v>
      </c>
      <c r="B1187">
        <v>1</v>
      </c>
      <c r="C1187" t="s">
        <v>49</v>
      </c>
      <c r="D1187">
        <v>3.34</v>
      </c>
      <c r="E1187">
        <v>31.7</v>
      </c>
      <c r="F1187">
        <v>218</v>
      </c>
      <c r="G1187">
        <v>80.2</v>
      </c>
      <c r="H1187" t="s">
        <v>20</v>
      </c>
      <c r="I1187">
        <v>2.68</v>
      </c>
      <c r="J1187">
        <v>96.42</v>
      </c>
      <c r="K1187" t="s">
        <v>22</v>
      </c>
      <c r="L1187">
        <v>10.41</v>
      </c>
      <c r="M1187">
        <v>8.01</v>
      </c>
      <c r="N1187" t="s">
        <v>27</v>
      </c>
      <c r="O1187">
        <v>50</v>
      </c>
      <c r="P1187" t="s">
        <v>22</v>
      </c>
      <c r="Q1187">
        <v>37</v>
      </c>
      <c r="R1187">
        <v>60</v>
      </c>
      <c r="S1187">
        <v>1</v>
      </c>
    </row>
    <row r="1188" spans="1:19" x14ac:dyDescent="0.25">
      <c r="A1188">
        <v>1037</v>
      </c>
      <c r="B1188">
        <v>1</v>
      </c>
      <c r="C1188" t="s">
        <v>50</v>
      </c>
      <c r="D1188">
        <v>4.41</v>
      </c>
      <c r="E1188">
        <v>3.93</v>
      </c>
      <c r="F1188">
        <v>123.98</v>
      </c>
      <c r="G1188">
        <v>307.2</v>
      </c>
      <c r="H1188" t="s">
        <v>20</v>
      </c>
      <c r="I1188">
        <v>2.68</v>
      </c>
      <c r="J1188">
        <v>96.42</v>
      </c>
      <c r="K1188" t="s">
        <v>22</v>
      </c>
      <c r="L1188">
        <v>10.41</v>
      </c>
      <c r="M1188">
        <v>8.01</v>
      </c>
      <c r="N1188" t="s">
        <v>29</v>
      </c>
      <c r="O1188">
        <v>50</v>
      </c>
      <c r="P1188" t="s">
        <v>22</v>
      </c>
      <c r="Q1188">
        <v>37</v>
      </c>
      <c r="R1188">
        <v>60</v>
      </c>
      <c r="S1188">
        <v>0.58909999999999996</v>
      </c>
    </row>
    <row r="1189" spans="1:19" x14ac:dyDescent="0.25">
      <c r="A1189">
        <v>1037</v>
      </c>
      <c r="B1189">
        <v>1</v>
      </c>
      <c r="C1189" t="s">
        <v>51</v>
      </c>
      <c r="D1189">
        <v>5.48</v>
      </c>
      <c r="E1189">
        <v>0.26</v>
      </c>
      <c r="F1189">
        <v>169</v>
      </c>
      <c r="G1189">
        <v>417.5</v>
      </c>
      <c r="H1189" t="s">
        <v>20</v>
      </c>
      <c r="I1189">
        <v>2.68</v>
      </c>
      <c r="J1189">
        <v>96.42</v>
      </c>
      <c r="K1189" t="s">
        <v>22</v>
      </c>
      <c r="L1189">
        <v>10.41</v>
      </c>
      <c r="M1189">
        <v>8.01</v>
      </c>
      <c r="N1189" t="s">
        <v>32</v>
      </c>
      <c r="O1189">
        <v>50</v>
      </c>
      <c r="P1189" t="s">
        <v>22</v>
      </c>
      <c r="Q1189">
        <v>37</v>
      </c>
      <c r="R1189">
        <v>60</v>
      </c>
      <c r="S1189">
        <v>0.50019999999999998</v>
      </c>
    </row>
    <row r="1190" spans="1:19" x14ac:dyDescent="0.25">
      <c r="A1190">
        <v>1037</v>
      </c>
      <c r="B1190">
        <v>1</v>
      </c>
      <c r="C1190" t="s">
        <v>52</v>
      </c>
      <c r="D1190">
        <v>6.37</v>
      </c>
      <c r="E1190">
        <v>3.8E-3</v>
      </c>
      <c r="F1190">
        <v>238.3</v>
      </c>
      <c r="G1190">
        <v>497.8</v>
      </c>
      <c r="H1190" t="s">
        <v>20</v>
      </c>
      <c r="I1190">
        <v>2.68</v>
      </c>
      <c r="J1190">
        <v>96.42</v>
      </c>
      <c r="K1190" t="s">
        <v>22</v>
      </c>
      <c r="L1190">
        <v>10.41</v>
      </c>
      <c r="M1190">
        <v>8.01</v>
      </c>
      <c r="N1190" t="s">
        <v>53</v>
      </c>
      <c r="O1190">
        <v>50</v>
      </c>
      <c r="P1190" t="s">
        <v>22</v>
      </c>
      <c r="Q1190">
        <v>37</v>
      </c>
      <c r="R1190">
        <v>60</v>
      </c>
      <c r="S1190">
        <v>0.29920000000000002</v>
      </c>
    </row>
    <row r="1191" spans="1:19" x14ac:dyDescent="0.25">
      <c r="A1191">
        <v>1037</v>
      </c>
      <c r="B1191">
        <v>1</v>
      </c>
      <c r="C1191" t="s">
        <v>49</v>
      </c>
      <c r="D1191">
        <v>3.34</v>
      </c>
      <c r="E1191">
        <v>31.7</v>
      </c>
      <c r="F1191">
        <v>218</v>
      </c>
      <c r="G1191">
        <v>80.2</v>
      </c>
      <c r="H1191" t="s">
        <v>20</v>
      </c>
      <c r="I1191">
        <v>2.68</v>
      </c>
      <c r="J1191">
        <v>96.42</v>
      </c>
      <c r="K1191" t="s">
        <v>22</v>
      </c>
      <c r="L1191">
        <v>10.41</v>
      </c>
      <c r="M1191">
        <v>8.01</v>
      </c>
      <c r="N1191" t="s">
        <v>27</v>
      </c>
      <c r="O1191">
        <v>50</v>
      </c>
      <c r="P1191" t="s">
        <v>22</v>
      </c>
      <c r="Q1191">
        <v>37</v>
      </c>
      <c r="R1191">
        <v>60</v>
      </c>
      <c r="S1191">
        <v>1</v>
      </c>
    </row>
    <row r="1192" spans="1:19" x14ac:dyDescent="0.25">
      <c r="A1192">
        <v>1037</v>
      </c>
      <c r="B1192">
        <v>1</v>
      </c>
      <c r="C1192" t="s">
        <v>50</v>
      </c>
      <c r="D1192">
        <v>4.41</v>
      </c>
      <c r="E1192">
        <v>3.93</v>
      </c>
      <c r="F1192">
        <v>123.98</v>
      </c>
      <c r="G1192">
        <v>307.2</v>
      </c>
      <c r="H1192" t="s">
        <v>20</v>
      </c>
      <c r="I1192">
        <v>2.68</v>
      </c>
      <c r="J1192">
        <v>96.42</v>
      </c>
      <c r="K1192" t="s">
        <v>22</v>
      </c>
      <c r="L1192">
        <v>10.41</v>
      </c>
      <c r="M1192">
        <v>8.01</v>
      </c>
      <c r="N1192" t="s">
        <v>29</v>
      </c>
      <c r="O1192">
        <v>50</v>
      </c>
      <c r="P1192" t="s">
        <v>22</v>
      </c>
      <c r="Q1192">
        <v>37</v>
      </c>
      <c r="R1192">
        <v>60</v>
      </c>
      <c r="S1192">
        <v>0.57869999999999999</v>
      </c>
    </row>
    <row r="1193" spans="1:19" x14ac:dyDescent="0.25">
      <c r="A1193">
        <v>1037</v>
      </c>
      <c r="B1193">
        <v>1</v>
      </c>
      <c r="C1193" t="s">
        <v>51</v>
      </c>
      <c r="D1193">
        <v>5.48</v>
      </c>
      <c r="E1193">
        <v>0.26</v>
      </c>
      <c r="F1193">
        <v>169</v>
      </c>
      <c r="G1193">
        <v>417.5</v>
      </c>
      <c r="H1193" t="s">
        <v>20</v>
      </c>
      <c r="I1193">
        <v>2.68</v>
      </c>
      <c r="J1193">
        <v>96.42</v>
      </c>
      <c r="K1193" t="s">
        <v>22</v>
      </c>
      <c r="L1193">
        <v>10.41</v>
      </c>
      <c r="M1193">
        <v>8.01</v>
      </c>
      <c r="N1193" t="s">
        <v>32</v>
      </c>
      <c r="O1193">
        <v>50</v>
      </c>
      <c r="P1193" t="s">
        <v>22</v>
      </c>
      <c r="Q1193">
        <v>37</v>
      </c>
      <c r="R1193">
        <v>60</v>
      </c>
      <c r="S1193">
        <v>0.47720000000000001</v>
      </c>
    </row>
    <row r="1194" spans="1:19" x14ac:dyDescent="0.25">
      <c r="A1194">
        <v>1037</v>
      </c>
      <c r="B1194">
        <v>1</v>
      </c>
      <c r="C1194" t="s">
        <v>52</v>
      </c>
      <c r="D1194">
        <v>6.37</v>
      </c>
      <c r="E1194">
        <v>3.8E-3</v>
      </c>
      <c r="F1194">
        <v>238.3</v>
      </c>
      <c r="G1194">
        <v>497.8</v>
      </c>
      <c r="H1194" t="s">
        <v>20</v>
      </c>
      <c r="I1194">
        <v>2.68</v>
      </c>
      <c r="J1194">
        <v>96.42</v>
      </c>
      <c r="K1194" t="s">
        <v>22</v>
      </c>
      <c r="L1194">
        <v>10.41</v>
      </c>
      <c r="M1194">
        <v>8.01</v>
      </c>
      <c r="N1194" t="s">
        <v>53</v>
      </c>
      <c r="O1194">
        <v>50</v>
      </c>
      <c r="P1194" t="s">
        <v>22</v>
      </c>
      <c r="Q1194">
        <v>37</v>
      </c>
      <c r="R1194">
        <v>60</v>
      </c>
      <c r="S1194">
        <v>0.28589999999999999</v>
      </c>
    </row>
    <row r="1195" spans="1:19" x14ac:dyDescent="0.25">
      <c r="A1195">
        <v>1037</v>
      </c>
      <c r="B1195">
        <v>1</v>
      </c>
      <c r="C1195" t="s">
        <v>49</v>
      </c>
      <c r="D1195">
        <v>3.34</v>
      </c>
      <c r="E1195">
        <v>31.7</v>
      </c>
      <c r="F1195">
        <v>218</v>
      </c>
      <c r="G1195">
        <v>80.2</v>
      </c>
      <c r="H1195" t="s">
        <v>20</v>
      </c>
      <c r="I1195">
        <v>2.68</v>
      </c>
      <c r="J1195">
        <v>96.42</v>
      </c>
      <c r="K1195" t="s">
        <v>22</v>
      </c>
      <c r="L1195">
        <v>10.41</v>
      </c>
      <c r="M1195">
        <v>8.01</v>
      </c>
      <c r="N1195" t="s">
        <v>27</v>
      </c>
      <c r="O1195">
        <v>50</v>
      </c>
      <c r="P1195" t="s">
        <v>22</v>
      </c>
      <c r="Q1195">
        <v>37</v>
      </c>
      <c r="R1195">
        <v>60</v>
      </c>
      <c r="S1195">
        <v>1</v>
      </c>
    </row>
    <row r="1196" spans="1:19" x14ac:dyDescent="0.25">
      <c r="A1196">
        <v>1037</v>
      </c>
      <c r="B1196">
        <v>1</v>
      </c>
      <c r="C1196" t="s">
        <v>50</v>
      </c>
      <c r="D1196">
        <v>4.41</v>
      </c>
      <c r="E1196">
        <v>3.93</v>
      </c>
      <c r="F1196">
        <v>123.98</v>
      </c>
      <c r="G1196">
        <v>307.2</v>
      </c>
      <c r="H1196" t="s">
        <v>20</v>
      </c>
      <c r="I1196">
        <v>2.68</v>
      </c>
      <c r="J1196">
        <v>96.42</v>
      </c>
      <c r="K1196" t="s">
        <v>22</v>
      </c>
      <c r="L1196">
        <v>10.41</v>
      </c>
      <c r="M1196">
        <v>8.01</v>
      </c>
      <c r="N1196" t="s">
        <v>29</v>
      </c>
      <c r="O1196">
        <v>50</v>
      </c>
      <c r="P1196" t="s">
        <v>22</v>
      </c>
      <c r="Q1196">
        <v>37</v>
      </c>
      <c r="R1196">
        <v>60</v>
      </c>
      <c r="S1196">
        <v>0.63449999999999995</v>
      </c>
    </row>
    <row r="1197" spans="1:19" x14ac:dyDescent="0.25">
      <c r="A1197">
        <v>1037</v>
      </c>
      <c r="B1197">
        <v>1</v>
      </c>
      <c r="C1197" t="s">
        <v>51</v>
      </c>
      <c r="D1197">
        <v>5.48</v>
      </c>
      <c r="E1197">
        <v>0.26</v>
      </c>
      <c r="F1197">
        <v>169</v>
      </c>
      <c r="G1197">
        <v>417.5</v>
      </c>
      <c r="H1197" t="s">
        <v>20</v>
      </c>
      <c r="I1197">
        <v>2.68</v>
      </c>
      <c r="J1197">
        <v>96.42</v>
      </c>
      <c r="K1197" t="s">
        <v>22</v>
      </c>
      <c r="L1197">
        <v>10.41</v>
      </c>
      <c r="M1197">
        <v>8.01</v>
      </c>
      <c r="N1197" t="s">
        <v>32</v>
      </c>
      <c r="O1197">
        <v>50</v>
      </c>
      <c r="P1197" t="s">
        <v>22</v>
      </c>
      <c r="Q1197">
        <v>37</v>
      </c>
      <c r="R1197">
        <v>60</v>
      </c>
      <c r="S1197">
        <v>0.6331</v>
      </c>
    </row>
    <row r="1198" spans="1:19" x14ac:dyDescent="0.25">
      <c r="A1198">
        <v>1037</v>
      </c>
      <c r="B1198">
        <v>1</v>
      </c>
      <c r="C1198" t="s">
        <v>52</v>
      </c>
      <c r="D1198">
        <v>6.37</v>
      </c>
      <c r="E1198">
        <v>3.8E-3</v>
      </c>
      <c r="F1198">
        <v>238.3</v>
      </c>
      <c r="G1198">
        <v>497.8</v>
      </c>
      <c r="H1198" t="s">
        <v>20</v>
      </c>
      <c r="I1198">
        <v>2.68</v>
      </c>
      <c r="J1198">
        <v>96.42</v>
      </c>
      <c r="K1198" t="s">
        <v>22</v>
      </c>
      <c r="L1198">
        <v>10.41</v>
      </c>
      <c r="M1198">
        <v>8.01</v>
      </c>
      <c r="N1198" t="s">
        <v>53</v>
      </c>
      <c r="O1198">
        <v>50</v>
      </c>
      <c r="P1198" t="s">
        <v>22</v>
      </c>
      <c r="Q1198">
        <v>37</v>
      </c>
      <c r="R1198">
        <v>60</v>
      </c>
      <c r="S1198">
        <v>0.40949999999999998</v>
      </c>
    </row>
    <row r="1199" spans="1:19" x14ac:dyDescent="0.25">
      <c r="A1199">
        <v>1037</v>
      </c>
      <c r="B1199">
        <v>1</v>
      </c>
      <c r="C1199" t="s">
        <v>49</v>
      </c>
      <c r="D1199">
        <v>3.34</v>
      </c>
      <c r="E1199">
        <v>31.7</v>
      </c>
      <c r="F1199">
        <v>218</v>
      </c>
      <c r="G1199">
        <v>80.2</v>
      </c>
      <c r="H1199" t="s">
        <v>20</v>
      </c>
      <c r="I1199">
        <v>2.68</v>
      </c>
      <c r="J1199">
        <v>96.42</v>
      </c>
      <c r="K1199" t="s">
        <v>22</v>
      </c>
      <c r="L1199">
        <v>10.41</v>
      </c>
      <c r="M1199">
        <v>8.01</v>
      </c>
      <c r="N1199" t="s">
        <v>27</v>
      </c>
      <c r="O1199">
        <v>50</v>
      </c>
      <c r="P1199" t="s">
        <v>22</v>
      </c>
      <c r="Q1199">
        <v>37</v>
      </c>
      <c r="R1199">
        <v>60</v>
      </c>
      <c r="S1199">
        <v>1</v>
      </c>
    </row>
    <row r="1200" spans="1:19" x14ac:dyDescent="0.25">
      <c r="A1200">
        <v>1037</v>
      </c>
      <c r="B1200">
        <v>1</v>
      </c>
      <c r="C1200" t="s">
        <v>50</v>
      </c>
      <c r="D1200">
        <v>4.41</v>
      </c>
      <c r="E1200">
        <v>3.93</v>
      </c>
      <c r="F1200">
        <v>123.98</v>
      </c>
      <c r="G1200">
        <v>307.2</v>
      </c>
      <c r="H1200" t="s">
        <v>20</v>
      </c>
      <c r="I1200">
        <v>2.68</v>
      </c>
      <c r="J1200">
        <v>96.42</v>
      </c>
      <c r="K1200" t="s">
        <v>22</v>
      </c>
      <c r="L1200">
        <v>10.41</v>
      </c>
      <c r="M1200">
        <v>8.01</v>
      </c>
      <c r="N1200" t="s">
        <v>29</v>
      </c>
      <c r="O1200">
        <v>50</v>
      </c>
      <c r="P1200" t="s">
        <v>22</v>
      </c>
      <c r="Q1200">
        <v>37</v>
      </c>
      <c r="R1200">
        <v>60</v>
      </c>
      <c r="S1200">
        <v>0.62549999999999994</v>
      </c>
    </row>
    <row r="1201" spans="1:19" x14ac:dyDescent="0.25">
      <c r="A1201">
        <v>1037</v>
      </c>
      <c r="B1201">
        <v>1</v>
      </c>
      <c r="C1201" t="s">
        <v>51</v>
      </c>
      <c r="D1201">
        <v>5.48</v>
      </c>
      <c r="E1201">
        <v>0.26</v>
      </c>
      <c r="F1201">
        <v>169</v>
      </c>
      <c r="G1201">
        <v>417.5</v>
      </c>
      <c r="H1201" t="s">
        <v>20</v>
      </c>
      <c r="I1201">
        <v>2.68</v>
      </c>
      <c r="J1201">
        <v>96.42</v>
      </c>
      <c r="K1201" t="s">
        <v>22</v>
      </c>
      <c r="L1201">
        <v>10.41</v>
      </c>
      <c r="M1201">
        <v>8.01</v>
      </c>
      <c r="N1201" t="s">
        <v>32</v>
      </c>
      <c r="O1201">
        <v>50</v>
      </c>
      <c r="P1201" t="s">
        <v>22</v>
      </c>
      <c r="Q1201">
        <v>37</v>
      </c>
      <c r="R1201">
        <v>60</v>
      </c>
      <c r="S1201">
        <v>0.61839999999999995</v>
      </c>
    </row>
    <row r="1202" spans="1:19" x14ac:dyDescent="0.25">
      <c r="A1202">
        <v>1037</v>
      </c>
      <c r="B1202">
        <v>1</v>
      </c>
      <c r="C1202" t="s">
        <v>52</v>
      </c>
      <c r="D1202">
        <v>6.37</v>
      </c>
      <c r="E1202">
        <v>3.8E-3</v>
      </c>
      <c r="F1202">
        <v>238.3</v>
      </c>
      <c r="G1202">
        <v>497.8</v>
      </c>
      <c r="H1202" t="s">
        <v>20</v>
      </c>
      <c r="I1202">
        <v>2.68</v>
      </c>
      <c r="J1202">
        <v>96.42</v>
      </c>
      <c r="K1202" t="s">
        <v>22</v>
      </c>
      <c r="L1202">
        <v>10.41</v>
      </c>
      <c r="M1202">
        <v>8.01</v>
      </c>
      <c r="N1202" t="s">
        <v>53</v>
      </c>
      <c r="O1202">
        <v>50</v>
      </c>
      <c r="P1202" t="s">
        <v>22</v>
      </c>
      <c r="Q1202">
        <v>37</v>
      </c>
      <c r="R1202">
        <v>60</v>
      </c>
      <c r="S1202">
        <v>0.36849999999999999</v>
      </c>
    </row>
    <row r="1203" spans="1:19" x14ac:dyDescent="0.25">
      <c r="A1203">
        <v>1037</v>
      </c>
      <c r="B1203">
        <v>1</v>
      </c>
      <c r="C1203" t="s">
        <v>49</v>
      </c>
      <c r="D1203">
        <v>3.34</v>
      </c>
      <c r="E1203">
        <v>31.7</v>
      </c>
      <c r="F1203">
        <v>218</v>
      </c>
      <c r="G1203">
        <v>80.2</v>
      </c>
      <c r="H1203" t="s">
        <v>20</v>
      </c>
      <c r="I1203">
        <v>2.68</v>
      </c>
      <c r="J1203">
        <v>96.42</v>
      </c>
      <c r="K1203" t="s">
        <v>22</v>
      </c>
      <c r="L1203">
        <v>10.41</v>
      </c>
      <c r="M1203">
        <v>8.01</v>
      </c>
      <c r="N1203" t="s">
        <v>27</v>
      </c>
      <c r="O1203">
        <v>50</v>
      </c>
      <c r="P1203" t="s">
        <v>22</v>
      </c>
      <c r="Q1203">
        <v>37</v>
      </c>
      <c r="R1203">
        <v>60</v>
      </c>
      <c r="S1203">
        <v>1</v>
      </c>
    </row>
    <row r="1204" spans="1:19" x14ac:dyDescent="0.25">
      <c r="A1204">
        <v>1037</v>
      </c>
      <c r="B1204">
        <v>1</v>
      </c>
      <c r="C1204" t="s">
        <v>50</v>
      </c>
      <c r="D1204">
        <v>4.41</v>
      </c>
      <c r="E1204">
        <v>3.93</v>
      </c>
      <c r="F1204">
        <v>123.98</v>
      </c>
      <c r="G1204">
        <v>307.2</v>
      </c>
      <c r="H1204" t="s">
        <v>20</v>
      </c>
      <c r="I1204">
        <v>2.68</v>
      </c>
      <c r="J1204">
        <v>96.42</v>
      </c>
      <c r="K1204" t="s">
        <v>22</v>
      </c>
      <c r="L1204">
        <v>10.41</v>
      </c>
      <c r="M1204">
        <v>8.01</v>
      </c>
      <c r="N1204" t="s">
        <v>29</v>
      </c>
      <c r="O1204">
        <v>50</v>
      </c>
      <c r="P1204" t="s">
        <v>22</v>
      </c>
      <c r="Q1204">
        <v>37</v>
      </c>
      <c r="R1204">
        <v>60</v>
      </c>
      <c r="S1204">
        <v>0.58830000000000005</v>
      </c>
    </row>
    <row r="1205" spans="1:19" x14ac:dyDescent="0.25">
      <c r="A1205">
        <v>1037</v>
      </c>
      <c r="B1205">
        <v>1</v>
      </c>
      <c r="C1205" t="s">
        <v>51</v>
      </c>
      <c r="D1205">
        <v>5.48</v>
      </c>
      <c r="E1205">
        <v>0.26</v>
      </c>
      <c r="F1205">
        <v>169</v>
      </c>
      <c r="G1205">
        <v>417.5</v>
      </c>
      <c r="H1205" t="s">
        <v>20</v>
      </c>
      <c r="I1205">
        <v>2.68</v>
      </c>
      <c r="J1205">
        <v>96.42</v>
      </c>
      <c r="K1205" t="s">
        <v>22</v>
      </c>
      <c r="L1205">
        <v>10.41</v>
      </c>
      <c r="M1205">
        <v>8.01</v>
      </c>
      <c r="N1205" t="s">
        <v>32</v>
      </c>
      <c r="O1205">
        <v>50</v>
      </c>
      <c r="P1205" t="s">
        <v>22</v>
      </c>
      <c r="Q1205">
        <v>37</v>
      </c>
      <c r="R1205">
        <v>60</v>
      </c>
      <c r="S1205">
        <v>0.50800000000000001</v>
      </c>
    </row>
    <row r="1206" spans="1:19" x14ac:dyDescent="0.25">
      <c r="A1206">
        <v>1037</v>
      </c>
      <c r="B1206">
        <v>1</v>
      </c>
      <c r="C1206" t="s">
        <v>52</v>
      </c>
      <c r="D1206">
        <v>6.37</v>
      </c>
      <c r="E1206">
        <v>3.8E-3</v>
      </c>
      <c r="F1206">
        <v>238.3</v>
      </c>
      <c r="G1206">
        <v>497.8</v>
      </c>
      <c r="H1206" t="s">
        <v>20</v>
      </c>
      <c r="I1206">
        <v>2.68</v>
      </c>
      <c r="J1206">
        <v>96.42</v>
      </c>
      <c r="K1206" t="s">
        <v>22</v>
      </c>
      <c r="L1206">
        <v>10.41</v>
      </c>
      <c r="M1206">
        <v>8.01</v>
      </c>
      <c r="N1206" t="s">
        <v>53</v>
      </c>
      <c r="O1206">
        <v>50</v>
      </c>
      <c r="P1206" t="s">
        <v>22</v>
      </c>
      <c r="Q1206">
        <v>37</v>
      </c>
      <c r="R1206">
        <v>60</v>
      </c>
      <c r="S1206">
        <v>0.3054</v>
      </c>
    </row>
    <row r="1207" spans="1:19" x14ac:dyDescent="0.25">
      <c r="A1207">
        <v>1037</v>
      </c>
      <c r="B1207">
        <v>1</v>
      </c>
      <c r="C1207" t="s">
        <v>49</v>
      </c>
      <c r="D1207">
        <v>3.34</v>
      </c>
      <c r="E1207">
        <v>31.7</v>
      </c>
      <c r="F1207">
        <v>218</v>
      </c>
      <c r="G1207">
        <v>80.2</v>
      </c>
      <c r="H1207" t="s">
        <v>20</v>
      </c>
      <c r="I1207">
        <v>2.68</v>
      </c>
      <c r="J1207">
        <v>96.42</v>
      </c>
      <c r="K1207" t="s">
        <v>22</v>
      </c>
      <c r="L1207">
        <v>10.41</v>
      </c>
      <c r="M1207">
        <v>8.01</v>
      </c>
      <c r="N1207" t="s">
        <v>27</v>
      </c>
      <c r="O1207">
        <v>50</v>
      </c>
      <c r="P1207" t="s">
        <v>22</v>
      </c>
      <c r="Q1207">
        <v>37</v>
      </c>
      <c r="R1207">
        <v>60</v>
      </c>
      <c r="S1207">
        <v>1</v>
      </c>
    </row>
    <row r="1208" spans="1:19" x14ac:dyDescent="0.25">
      <c r="A1208">
        <v>1037</v>
      </c>
      <c r="B1208">
        <v>1</v>
      </c>
      <c r="C1208" t="s">
        <v>50</v>
      </c>
      <c r="D1208">
        <v>4.41</v>
      </c>
      <c r="E1208">
        <v>3.93</v>
      </c>
      <c r="F1208">
        <v>123.98</v>
      </c>
      <c r="G1208">
        <v>307.2</v>
      </c>
      <c r="H1208" t="s">
        <v>20</v>
      </c>
      <c r="I1208">
        <v>2.68</v>
      </c>
      <c r="J1208">
        <v>96.42</v>
      </c>
      <c r="K1208" t="s">
        <v>22</v>
      </c>
      <c r="L1208">
        <v>10.41</v>
      </c>
      <c r="M1208">
        <v>8.01</v>
      </c>
      <c r="N1208" t="s">
        <v>29</v>
      </c>
      <c r="O1208">
        <v>50</v>
      </c>
      <c r="P1208" t="s">
        <v>22</v>
      </c>
      <c r="Q1208">
        <v>37</v>
      </c>
      <c r="R1208">
        <v>60</v>
      </c>
      <c r="S1208">
        <v>0.66120000000000001</v>
      </c>
    </row>
    <row r="1209" spans="1:19" x14ac:dyDescent="0.25">
      <c r="A1209">
        <v>1037</v>
      </c>
      <c r="B1209">
        <v>1</v>
      </c>
      <c r="C1209" t="s">
        <v>51</v>
      </c>
      <c r="D1209">
        <v>5.48</v>
      </c>
      <c r="E1209">
        <v>0.26</v>
      </c>
      <c r="F1209">
        <v>169</v>
      </c>
      <c r="G1209">
        <v>417.5</v>
      </c>
      <c r="H1209" t="s">
        <v>20</v>
      </c>
      <c r="I1209">
        <v>2.68</v>
      </c>
      <c r="J1209">
        <v>96.42</v>
      </c>
      <c r="K1209" t="s">
        <v>22</v>
      </c>
      <c r="L1209">
        <v>10.41</v>
      </c>
      <c r="M1209">
        <v>8.01</v>
      </c>
      <c r="N1209" t="s">
        <v>32</v>
      </c>
      <c r="O1209">
        <v>50</v>
      </c>
      <c r="P1209" t="s">
        <v>22</v>
      </c>
      <c r="Q1209">
        <v>37</v>
      </c>
      <c r="R1209">
        <v>60</v>
      </c>
      <c r="S1209">
        <v>0.6804</v>
      </c>
    </row>
    <row r="1210" spans="1:19" x14ac:dyDescent="0.25">
      <c r="A1210">
        <v>1037</v>
      </c>
      <c r="B1210">
        <v>1</v>
      </c>
      <c r="C1210" t="s">
        <v>52</v>
      </c>
      <c r="D1210">
        <v>6.37</v>
      </c>
      <c r="E1210">
        <v>3.8E-3</v>
      </c>
      <c r="F1210">
        <v>238.3</v>
      </c>
      <c r="G1210">
        <v>497.8</v>
      </c>
      <c r="H1210" t="s">
        <v>20</v>
      </c>
      <c r="I1210">
        <v>2.68</v>
      </c>
      <c r="J1210">
        <v>96.42</v>
      </c>
      <c r="K1210" t="s">
        <v>22</v>
      </c>
      <c r="L1210">
        <v>10.41</v>
      </c>
      <c r="M1210">
        <v>8.01</v>
      </c>
      <c r="N1210" t="s">
        <v>53</v>
      </c>
      <c r="O1210">
        <v>50</v>
      </c>
      <c r="P1210" t="s">
        <v>22</v>
      </c>
      <c r="Q1210">
        <v>37</v>
      </c>
      <c r="R1210">
        <v>60</v>
      </c>
      <c r="S1210">
        <v>0.4919</v>
      </c>
    </row>
    <row r="1211" spans="1:19" x14ac:dyDescent="0.25">
      <c r="A1211">
        <v>1037</v>
      </c>
      <c r="B1211">
        <v>2</v>
      </c>
      <c r="C1211" t="s">
        <v>19</v>
      </c>
      <c r="D1211">
        <v>4.95</v>
      </c>
      <c r="E1211">
        <v>31.7</v>
      </c>
      <c r="F1211">
        <v>170</v>
      </c>
      <c r="G1211">
        <v>387.6</v>
      </c>
      <c r="H1211" t="s">
        <v>20</v>
      </c>
      <c r="I1211">
        <v>2.68</v>
      </c>
      <c r="J1211">
        <v>96.42</v>
      </c>
      <c r="K1211" t="s">
        <v>22</v>
      </c>
      <c r="L1211">
        <v>10.41</v>
      </c>
      <c r="M1211">
        <v>8.01</v>
      </c>
      <c r="N1211" t="s">
        <v>21</v>
      </c>
      <c r="O1211">
        <v>50</v>
      </c>
      <c r="P1211">
        <v>254.24</v>
      </c>
      <c r="Q1211">
        <v>37</v>
      </c>
      <c r="R1211">
        <v>60</v>
      </c>
      <c r="S1211">
        <v>5.5498741346759001E-2</v>
      </c>
    </row>
    <row r="1212" spans="1:19" x14ac:dyDescent="0.25">
      <c r="A1212">
        <v>1037</v>
      </c>
      <c r="B1212">
        <v>2</v>
      </c>
      <c r="C1212" t="s">
        <v>19</v>
      </c>
      <c r="D1212">
        <v>4.95</v>
      </c>
      <c r="E1212">
        <v>31.7</v>
      </c>
      <c r="F1212">
        <v>170</v>
      </c>
      <c r="G1212">
        <v>387.6</v>
      </c>
      <c r="H1212" t="s">
        <v>20</v>
      </c>
      <c r="I1212">
        <v>2.68</v>
      </c>
      <c r="J1212">
        <v>96.42</v>
      </c>
      <c r="K1212" t="s">
        <v>22</v>
      </c>
      <c r="L1212">
        <v>10.41</v>
      </c>
      <c r="M1212">
        <v>8.01</v>
      </c>
      <c r="N1212" t="s">
        <v>21</v>
      </c>
      <c r="O1212">
        <v>50</v>
      </c>
      <c r="P1212">
        <v>254.24</v>
      </c>
      <c r="Q1212">
        <v>37</v>
      </c>
      <c r="R1212">
        <v>60</v>
      </c>
      <c r="S1212">
        <v>0.27064977973568299</v>
      </c>
    </row>
    <row r="1213" spans="1:19" x14ac:dyDescent="0.25">
      <c r="A1213">
        <v>1037</v>
      </c>
      <c r="B1213">
        <v>2</v>
      </c>
      <c r="C1213" t="s">
        <v>19</v>
      </c>
      <c r="D1213">
        <v>4.95</v>
      </c>
      <c r="E1213">
        <v>31.7</v>
      </c>
      <c r="F1213">
        <v>170</v>
      </c>
      <c r="G1213">
        <v>387.6</v>
      </c>
      <c r="H1213" t="s">
        <v>20</v>
      </c>
      <c r="I1213">
        <v>2.68</v>
      </c>
      <c r="J1213">
        <v>96.42</v>
      </c>
      <c r="K1213" t="s">
        <v>22</v>
      </c>
      <c r="L1213">
        <v>10.41</v>
      </c>
      <c r="M1213">
        <v>8.01</v>
      </c>
      <c r="N1213" t="s">
        <v>21</v>
      </c>
      <c r="O1213">
        <v>50</v>
      </c>
      <c r="P1213">
        <v>254.24</v>
      </c>
      <c r="Q1213">
        <v>37</v>
      </c>
      <c r="R1213">
        <v>60</v>
      </c>
      <c r="S1213">
        <v>0.39435179358086903</v>
      </c>
    </row>
    <row r="1214" spans="1:19" x14ac:dyDescent="0.25">
      <c r="A1214">
        <v>1037</v>
      </c>
      <c r="B1214">
        <v>2</v>
      </c>
      <c r="C1214" t="s">
        <v>19</v>
      </c>
      <c r="D1214">
        <v>4.95</v>
      </c>
      <c r="E1214">
        <v>31.7</v>
      </c>
      <c r="F1214">
        <v>170</v>
      </c>
      <c r="G1214">
        <v>387.6</v>
      </c>
      <c r="H1214" t="s">
        <v>20</v>
      </c>
      <c r="I1214">
        <v>2.68</v>
      </c>
      <c r="J1214">
        <v>96.42</v>
      </c>
      <c r="K1214" t="s">
        <v>22</v>
      </c>
      <c r="L1214">
        <v>10.41</v>
      </c>
      <c r="M1214">
        <v>8.01</v>
      </c>
      <c r="N1214" t="s">
        <v>21</v>
      </c>
      <c r="O1214">
        <v>50</v>
      </c>
      <c r="P1214">
        <v>254.24</v>
      </c>
      <c r="Q1214">
        <v>37</v>
      </c>
      <c r="R1214">
        <v>60</v>
      </c>
      <c r="S1214">
        <v>0.50110132158590304</v>
      </c>
    </row>
    <row r="1215" spans="1:19" x14ac:dyDescent="0.25">
      <c r="A1215">
        <v>1037</v>
      </c>
      <c r="B1215">
        <v>2</v>
      </c>
      <c r="C1215" t="s">
        <v>19</v>
      </c>
      <c r="D1215">
        <v>4.95</v>
      </c>
      <c r="E1215">
        <v>31.7</v>
      </c>
      <c r="F1215">
        <v>170</v>
      </c>
      <c r="G1215">
        <v>387.6</v>
      </c>
      <c r="H1215" t="s">
        <v>20</v>
      </c>
      <c r="I1215">
        <v>2.68</v>
      </c>
      <c r="J1215">
        <v>96.42</v>
      </c>
      <c r="K1215" t="s">
        <v>22</v>
      </c>
      <c r="L1215">
        <v>10.41</v>
      </c>
      <c r="M1215">
        <v>8.01</v>
      </c>
      <c r="N1215" t="s">
        <v>21</v>
      </c>
      <c r="O1215">
        <v>50</v>
      </c>
      <c r="P1215">
        <v>254.24</v>
      </c>
      <c r="Q1215">
        <v>37</v>
      </c>
      <c r="R1215">
        <v>60</v>
      </c>
      <c r="S1215">
        <v>0.47423694147262402</v>
      </c>
    </row>
    <row r="1216" spans="1:19" x14ac:dyDescent="0.25">
      <c r="A1216">
        <v>1037</v>
      </c>
      <c r="B1216">
        <v>2</v>
      </c>
      <c r="C1216" t="s">
        <v>19</v>
      </c>
      <c r="D1216">
        <v>4.95</v>
      </c>
      <c r="E1216">
        <v>31.7</v>
      </c>
      <c r="F1216">
        <v>170</v>
      </c>
      <c r="G1216">
        <v>387.6</v>
      </c>
      <c r="H1216" t="s">
        <v>20</v>
      </c>
      <c r="I1216">
        <v>2.68</v>
      </c>
      <c r="J1216">
        <v>96.42</v>
      </c>
      <c r="K1216" t="s">
        <v>22</v>
      </c>
      <c r="L1216">
        <v>10.41</v>
      </c>
      <c r="M1216">
        <v>8.01</v>
      </c>
      <c r="N1216" t="s">
        <v>21</v>
      </c>
      <c r="O1216">
        <v>50</v>
      </c>
      <c r="P1216">
        <v>254.24</v>
      </c>
      <c r="Q1216">
        <v>37</v>
      </c>
      <c r="R1216">
        <v>60</v>
      </c>
      <c r="S1216">
        <v>0.41051762114537399</v>
      </c>
    </row>
    <row r="1217" spans="1:19" x14ac:dyDescent="0.25">
      <c r="A1217">
        <v>1037</v>
      </c>
      <c r="B1217">
        <v>3</v>
      </c>
      <c r="C1217" t="s">
        <v>19</v>
      </c>
      <c r="D1217">
        <v>4.95</v>
      </c>
      <c r="E1217">
        <v>31.7</v>
      </c>
      <c r="F1217">
        <v>170</v>
      </c>
      <c r="G1217">
        <v>387.6</v>
      </c>
      <c r="H1217" t="s">
        <v>20</v>
      </c>
      <c r="I1217">
        <v>2.68</v>
      </c>
      <c r="J1217">
        <v>96.42</v>
      </c>
      <c r="K1217" t="s">
        <v>22</v>
      </c>
      <c r="L1217">
        <v>10.41</v>
      </c>
      <c r="M1217">
        <v>8.01</v>
      </c>
      <c r="N1217" t="s">
        <v>21</v>
      </c>
      <c r="O1217">
        <v>50</v>
      </c>
      <c r="P1217">
        <v>254.24</v>
      </c>
      <c r="Q1217">
        <v>30</v>
      </c>
      <c r="R1217">
        <v>60</v>
      </c>
      <c r="S1217">
        <v>0.254955947136564</v>
      </c>
    </row>
    <row r="1218" spans="1:19" x14ac:dyDescent="0.25">
      <c r="A1218">
        <v>1037</v>
      </c>
      <c r="B1218">
        <v>3</v>
      </c>
      <c r="C1218" t="s">
        <v>19</v>
      </c>
      <c r="D1218">
        <v>4.95</v>
      </c>
      <c r="E1218">
        <v>31.7</v>
      </c>
      <c r="F1218">
        <v>170</v>
      </c>
      <c r="G1218">
        <v>387.6</v>
      </c>
      <c r="H1218" t="s">
        <v>20</v>
      </c>
      <c r="I1218">
        <v>2.68</v>
      </c>
      <c r="J1218">
        <v>96.42</v>
      </c>
      <c r="K1218" t="s">
        <v>22</v>
      </c>
      <c r="L1218">
        <v>10.41</v>
      </c>
      <c r="M1218">
        <v>8.01</v>
      </c>
      <c r="N1218" t="s">
        <v>21</v>
      </c>
      <c r="O1218">
        <v>50</v>
      </c>
      <c r="P1218">
        <v>254.24</v>
      </c>
      <c r="Q1218">
        <v>35</v>
      </c>
      <c r="R1218">
        <v>60</v>
      </c>
      <c r="S1218">
        <v>0.42998741346759001</v>
      </c>
    </row>
    <row r="1219" spans="1:19" x14ac:dyDescent="0.25">
      <c r="A1219">
        <v>1037</v>
      </c>
      <c r="B1219">
        <v>3</v>
      </c>
      <c r="C1219" t="s">
        <v>19</v>
      </c>
      <c r="D1219">
        <v>4.95</v>
      </c>
      <c r="E1219">
        <v>31.7</v>
      </c>
      <c r="F1219">
        <v>170</v>
      </c>
      <c r="G1219">
        <v>387.6</v>
      </c>
      <c r="H1219" t="s">
        <v>20</v>
      </c>
      <c r="I1219">
        <v>2.68</v>
      </c>
      <c r="J1219">
        <v>96.42</v>
      </c>
      <c r="K1219" t="s">
        <v>22</v>
      </c>
      <c r="L1219">
        <v>10.41</v>
      </c>
      <c r="M1219">
        <v>8.01</v>
      </c>
      <c r="N1219" t="s">
        <v>21</v>
      </c>
      <c r="O1219">
        <v>50</v>
      </c>
      <c r="P1219">
        <v>254.24</v>
      </c>
      <c r="Q1219">
        <v>37</v>
      </c>
      <c r="R1219">
        <v>60</v>
      </c>
      <c r="S1219">
        <v>0.50110132158590304</v>
      </c>
    </row>
    <row r="1220" spans="1:19" x14ac:dyDescent="0.25">
      <c r="A1220">
        <v>1037</v>
      </c>
      <c r="B1220">
        <v>3</v>
      </c>
      <c r="C1220" t="s">
        <v>19</v>
      </c>
      <c r="D1220">
        <v>4.95</v>
      </c>
      <c r="E1220">
        <v>31.7</v>
      </c>
      <c r="F1220">
        <v>170</v>
      </c>
      <c r="G1220">
        <v>387.6</v>
      </c>
      <c r="H1220" t="s">
        <v>20</v>
      </c>
      <c r="I1220">
        <v>2.68</v>
      </c>
      <c r="J1220">
        <v>96.42</v>
      </c>
      <c r="K1220" t="s">
        <v>22</v>
      </c>
      <c r="L1220">
        <v>10.41</v>
      </c>
      <c r="M1220">
        <v>8.01</v>
      </c>
      <c r="N1220" t="s">
        <v>21</v>
      </c>
      <c r="O1220">
        <v>50</v>
      </c>
      <c r="P1220">
        <v>254.24</v>
      </c>
      <c r="Q1220">
        <v>40</v>
      </c>
      <c r="R1220">
        <v>60</v>
      </c>
      <c r="S1220">
        <v>0.32343455003146598</v>
      </c>
    </row>
    <row r="1221" spans="1:19" x14ac:dyDescent="0.25">
      <c r="A1221">
        <v>1037</v>
      </c>
      <c r="B1221">
        <v>3</v>
      </c>
      <c r="C1221" t="s">
        <v>19</v>
      </c>
      <c r="D1221">
        <v>4.95</v>
      </c>
      <c r="E1221">
        <v>31.7</v>
      </c>
      <c r="F1221">
        <v>170</v>
      </c>
      <c r="G1221">
        <v>387.6</v>
      </c>
      <c r="H1221" t="s">
        <v>20</v>
      </c>
      <c r="I1221">
        <v>2.68</v>
      </c>
      <c r="J1221">
        <v>96.42</v>
      </c>
      <c r="K1221" t="s">
        <v>22</v>
      </c>
      <c r="L1221">
        <v>10.41</v>
      </c>
      <c r="M1221">
        <v>8.01</v>
      </c>
      <c r="N1221" t="s">
        <v>21</v>
      </c>
      <c r="O1221">
        <v>50</v>
      </c>
      <c r="P1221">
        <v>254.24</v>
      </c>
      <c r="Q1221">
        <v>45</v>
      </c>
      <c r="R1221">
        <v>60</v>
      </c>
      <c r="S1221">
        <v>0.21688168659534299</v>
      </c>
    </row>
    <row r="1222" spans="1:19" x14ac:dyDescent="0.25">
      <c r="A1222">
        <v>1037</v>
      </c>
      <c r="B1222">
        <v>4</v>
      </c>
      <c r="C1222" t="s">
        <v>19</v>
      </c>
      <c r="D1222">
        <v>4.95</v>
      </c>
      <c r="E1222">
        <v>31.7</v>
      </c>
      <c r="F1222">
        <v>170</v>
      </c>
      <c r="G1222">
        <v>387.6</v>
      </c>
      <c r="H1222" t="s">
        <v>20</v>
      </c>
      <c r="I1222">
        <v>2.68</v>
      </c>
      <c r="J1222">
        <v>96.42</v>
      </c>
      <c r="K1222" t="s">
        <v>22</v>
      </c>
      <c r="L1222">
        <v>10.41</v>
      </c>
      <c r="M1222">
        <v>8.01</v>
      </c>
      <c r="N1222" t="s">
        <v>21</v>
      </c>
      <c r="O1222">
        <v>30</v>
      </c>
      <c r="P1222">
        <v>254.24</v>
      </c>
      <c r="Q1222">
        <v>37</v>
      </c>
      <c r="R1222">
        <v>60</v>
      </c>
      <c r="S1222">
        <v>0.40851164254248001</v>
      </c>
    </row>
    <row r="1223" spans="1:19" x14ac:dyDescent="0.25">
      <c r="A1223">
        <v>1037</v>
      </c>
      <c r="B1223">
        <v>4</v>
      </c>
      <c r="C1223" t="s">
        <v>19</v>
      </c>
      <c r="D1223">
        <v>4.95</v>
      </c>
      <c r="E1223">
        <v>31.7</v>
      </c>
      <c r="F1223">
        <v>170</v>
      </c>
      <c r="G1223">
        <v>387.6</v>
      </c>
      <c r="H1223" t="s">
        <v>20</v>
      </c>
      <c r="I1223">
        <v>2.68</v>
      </c>
      <c r="J1223">
        <v>96.42</v>
      </c>
      <c r="K1223" t="s">
        <v>22</v>
      </c>
      <c r="L1223">
        <v>10.41</v>
      </c>
      <c r="M1223">
        <v>8.01</v>
      </c>
      <c r="N1223" t="s">
        <v>21</v>
      </c>
      <c r="O1223">
        <v>40</v>
      </c>
      <c r="P1223">
        <v>254.24</v>
      </c>
      <c r="Q1223">
        <v>37</v>
      </c>
      <c r="R1223">
        <v>60</v>
      </c>
      <c r="S1223">
        <v>0.448237885462555</v>
      </c>
    </row>
    <row r="1224" spans="1:19" x14ac:dyDescent="0.25">
      <c r="A1224">
        <v>1037</v>
      </c>
      <c r="B1224">
        <v>4</v>
      </c>
      <c r="C1224" t="s">
        <v>19</v>
      </c>
      <c r="D1224">
        <v>4.95</v>
      </c>
      <c r="E1224">
        <v>31.7</v>
      </c>
      <c r="F1224">
        <v>170</v>
      </c>
      <c r="G1224">
        <v>387.6</v>
      </c>
      <c r="H1224" t="s">
        <v>20</v>
      </c>
      <c r="I1224">
        <v>2.68</v>
      </c>
      <c r="J1224">
        <v>96.42</v>
      </c>
      <c r="K1224" t="s">
        <v>22</v>
      </c>
      <c r="L1224">
        <v>10.41</v>
      </c>
      <c r="M1224">
        <v>8.01</v>
      </c>
      <c r="N1224" t="s">
        <v>21</v>
      </c>
      <c r="O1224">
        <v>50</v>
      </c>
      <c r="P1224">
        <v>254.24</v>
      </c>
      <c r="Q1224">
        <v>37</v>
      </c>
      <c r="R1224">
        <v>60</v>
      </c>
      <c r="S1224">
        <v>0.50110132158590304</v>
      </c>
    </row>
    <row r="1225" spans="1:19" x14ac:dyDescent="0.25">
      <c r="A1225">
        <v>1037</v>
      </c>
      <c r="B1225">
        <v>4</v>
      </c>
      <c r="C1225" t="s">
        <v>19</v>
      </c>
      <c r="D1225">
        <v>4.95</v>
      </c>
      <c r="E1225">
        <v>31.7</v>
      </c>
      <c r="F1225">
        <v>170</v>
      </c>
      <c r="G1225">
        <v>387.6</v>
      </c>
      <c r="H1225" t="s">
        <v>20</v>
      </c>
      <c r="I1225">
        <v>2.68</v>
      </c>
      <c r="J1225">
        <v>96.42</v>
      </c>
      <c r="K1225" t="s">
        <v>22</v>
      </c>
      <c r="L1225">
        <v>10.41</v>
      </c>
      <c r="M1225">
        <v>8.01</v>
      </c>
      <c r="N1225" t="s">
        <v>21</v>
      </c>
      <c r="O1225">
        <v>60</v>
      </c>
      <c r="P1225">
        <v>254.24</v>
      </c>
      <c r="Q1225">
        <v>37</v>
      </c>
      <c r="R1225">
        <v>60</v>
      </c>
      <c r="S1225">
        <v>0.43785399622403998</v>
      </c>
    </row>
    <row r="1226" spans="1:19" x14ac:dyDescent="0.25">
      <c r="A1226">
        <v>1037</v>
      </c>
      <c r="B1226">
        <v>4</v>
      </c>
      <c r="C1226" t="s">
        <v>19</v>
      </c>
      <c r="D1226">
        <v>4.95</v>
      </c>
      <c r="E1226">
        <v>31.7</v>
      </c>
      <c r="F1226">
        <v>170</v>
      </c>
      <c r="G1226">
        <v>387.6</v>
      </c>
      <c r="H1226" t="s">
        <v>20</v>
      </c>
      <c r="I1226">
        <v>2.68</v>
      </c>
      <c r="J1226">
        <v>96.42</v>
      </c>
      <c r="K1226" t="s">
        <v>22</v>
      </c>
      <c r="L1226">
        <v>10.41</v>
      </c>
      <c r="M1226">
        <v>8.01</v>
      </c>
      <c r="N1226" t="s">
        <v>21</v>
      </c>
      <c r="O1226">
        <v>70</v>
      </c>
      <c r="P1226">
        <v>254.24</v>
      </c>
      <c r="Q1226">
        <v>37</v>
      </c>
      <c r="R1226">
        <v>60</v>
      </c>
      <c r="S1226">
        <v>0.32803650094399001</v>
      </c>
    </row>
    <row r="1227" spans="1:19" x14ac:dyDescent="0.25">
      <c r="A1227">
        <v>1038</v>
      </c>
      <c r="B1227">
        <v>1</v>
      </c>
      <c r="C1227" t="s">
        <v>26</v>
      </c>
      <c r="D1227">
        <v>3.3</v>
      </c>
      <c r="E1227">
        <v>31.7</v>
      </c>
      <c r="F1227">
        <v>218</v>
      </c>
      <c r="G1227">
        <v>80.2</v>
      </c>
      <c r="H1227" t="s">
        <v>22</v>
      </c>
      <c r="I1227">
        <v>318</v>
      </c>
      <c r="J1227">
        <v>1600</v>
      </c>
      <c r="K1227" t="s">
        <v>22</v>
      </c>
      <c r="L1227" t="s">
        <v>22</v>
      </c>
      <c r="M1227">
        <v>7</v>
      </c>
      <c r="N1227" t="s">
        <v>27</v>
      </c>
      <c r="O1227">
        <v>3.6</v>
      </c>
      <c r="P1227">
        <v>22</v>
      </c>
      <c r="Q1227">
        <v>30</v>
      </c>
      <c r="R1227">
        <v>7</v>
      </c>
      <c r="S1227">
        <v>0.78920000000000001</v>
      </c>
    </row>
    <row r="1228" spans="1:19" x14ac:dyDescent="0.25">
      <c r="A1228">
        <v>1038</v>
      </c>
      <c r="B1228">
        <v>1</v>
      </c>
      <c r="C1228" t="s">
        <v>28</v>
      </c>
      <c r="D1228">
        <v>4.57</v>
      </c>
      <c r="E1228">
        <v>1.1000000000000001</v>
      </c>
      <c r="F1228">
        <v>340</v>
      </c>
      <c r="G1228">
        <v>101</v>
      </c>
      <c r="H1228" t="s">
        <v>22</v>
      </c>
      <c r="I1228">
        <v>318</v>
      </c>
      <c r="J1228">
        <v>1600</v>
      </c>
      <c r="K1228" t="s">
        <v>22</v>
      </c>
      <c r="L1228" t="s">
        <v>22</v>
      </c>
      <c r="M1228">
        <v>7</v>
      </c>
      <c r="N1228" t="s">
        <v>29</v>
      </c>
      <c r="O1228">
        <v>3.6</v>
      </c>
      <c r="P1228">
        <v>23</v>
      </c>
      <c r="Q1228">
        <v>30</v>
      </c>
      <c r="R1228">
        <v>7</v>
      </c>
      <c r="S1228">
        <v>0.93130000000000002</v>
      </c>
    </row>
    <row r="1229" spans="1:19" x14ac:dyDescent="0.25">
      <c r="A1229">
        <v>1038</v>
      </c>
      <c r="B1229">
        <v>1</v>
      </c>
      <c r="C1229" t="s">
        <v>40</v>
      </c>
      <c r="D1229">
        <v>6.04</v>
      </c>
      <c r="E1229">
        <v>3.8E-3</v>
      </c>
      <c r="F1229">
        <v>400</v>
      </c>
      <c r="G1229">
        <v>150</v>
      </c>
      <c r="H1229" t="s">
        <v>22</v>
      </c>
      <c r="I1229">
        <v>318</v>
      </c>
      <c r="J1229">
        <v>1600</v>
      </c>
      <c r="K1229" t="s">
        <v>22</v>
      </c>
      <c r="L1229" t="s">
        <v>22</v>
      </c>
      <c r="M1229">
        <v>7</v>
      </c>
      <c r="N1229" t="s">
        <v>38</v>
      </c>
      <c r="O1229">
        <v>3.6</v>
      </c>
      <c r="P1229">
        <v>19</v>
      </c>
      <c r="Q1229">
        <v>30</v>
      </c>
      <c r="R1229">
        <v>7</v>
      </c>
      <c r="S1229">
        <v>0.66369999999999996</v>
      </c>
    </row>
    <row r="1230" spans="1:19" x14ac:dyDescent="0.25">
      <c r="A1230">
        <v>1038</v>
      </c>
      <c r="B1230">
        <v>1</v>
      </c>
      <c r="C1230" t="s">
        <v>26</v>
      </c>
      <c r="D1230">
        <v>3.3</v>
      </c>
      <c r="E1230">
        <v>31.7</v>
      </c>
      <c r="F1230">
        <v>218</v>
      </c>
      <c r="G1230">
        <v>80.2</v>
      </c>
      <c r="H1230" t="s">
        <v>22</v>
      </c>
      <c r="I1230">
        <v>318</v>
      </c>
      <c r="J1230">
        <v>1600</v>
      </c>
      <c r="K1230" t="s">
        <v>22</v>
      </c>
      <c r="L1230" t="s">
        <v>22</v>
      </c>
      <c r="M1230">
        <v>7</v>
      </c>
      <c r="N1230" t="s">
        <v>27</v>
      </c>
      <c r="O1230">
        <v>3.6</v>
      </c>
      <c r="P1230">
        <v>22</v>
      </c>
      <c r="Q1230">
        <v>30</v>
      </c>
      <c r="R1230">
        <v>7</v>
      </c>
      <c r="S1230">
        <v>0.87839999999999996</v>
      </c>
    </row>
    <row r="1231" spans="1:19" x14ac:dyDescent="0.25">
      <c r="A1231">
        <v>1038</v>
      </c>
      <c r="B1231">
        <v>1</v>
      </c>
      <c r="C1231" t="s">
        <v>28</v>
      </c>
      <c r="D1231">
        <v>4.57</v>
      </c>
      <c r="E1231">
        <v>1.1000000000000001</v>
      </c>
      <c r="F1231">
        <v>340</v>
      </c>
      <c r="G1231">
        <v>101</v>
      </c>
      <c r="H1231" t="s">
        <v>22</v>
      </c>
      <c r="I1231">
        <v>318</v>
      </c>
      <c r="J1231">
        <v>1600</v>
      </c>
      <c r="K1231" t="s">
        <v>22</v>
      </c>
      <c r="L1231" t="s">
        <v>22</v>
      </c>
      <c r="M1231">
        <v>7</v>
      </c>
      <c r="N1231" t="s">
        <v>29</v>
      </c>
      <c r="O1231">
        <v>3.6</v>
      </c>
      <c r="P1231">
        <v>23</v>
      </c>
      <c r="Q1231">
        <v>30</v>
      </c>
      <c r="R1231">
        <v>7</v>
      </c>
      <c r="S1231">
        <v>0.88780000000000003</v>
      </c>
    </row>
    <row r="1232" spans="1:19" x14ac:dyDescent="0.25">
      <c r="A1232">
        <v>1038</v>
      </c>
      <c r="B1232">
        <v>1</v>
      </c>
      <c r="C1232" t="s">
        <v>40</v>
      </c>
      <c r="D1232">
        <v>6.04</v>
      </c>
      <c r="E1232">
        <v>3.8E-3</v>
      </c>
      <c r="F1232">
        <v>400</v>
      </c>
      <c r="G1232">
        <v>150</v>
      </c>
      <c r="H1232" t="s">
        <v>22</v>
      </c>
      <c r="I1232">
        <v>318</v>
      </c>
      <c r="J1232">
        <v>1600</v>
      </c>
      <c r="K1232" t="s">
        <v>22</v>
      </c>
      <c r="L1232" t="s">
        <v>22</v>
      </c>
      <c r="M1232">
        <v>7</v>
      </c>
      <c r="N1232" t="s">
        <v>38</v>
      </c>
      <c r="O1232">
        <v>3.6</v>
      </c>
      <c r="P1232">
        <v>19</v>
      </c>
      <c r="Q1232">
        <v>30</v>
      </c>
      <c r="R1232">
        <v>7</v>
      </c>
      <c r="S1232">
        <v>0.76749999999999996</v>
      </c>
    </row>
    <row r="1233" spans="1:19" x14ac:dyDescent="0.25">
      <c r="A1233">
        <v>1038</v>
      </c>
      <c r="B1233">
        <v>1</v>
      </c>
      <c r="C1233" t="s">
        <v>26</v>
      </c>
      <c r="D1233">
        <v>3.3</v>
      </c>
      <c r="E1233">
        <v>31.7</v>
      </c>
      <c r="F1233">
        <v>218</v>
      </c>
      <c r="G1233">
        <v>80.2</v>
      </c>
      <c r="H1233" t="s">
        <v>22</v>
      </c>
      <c r="I1233">
        <v>318</v>
      </c>
      <c r="J1233">
        <v>1600</v>
      </c>
      <c r="K1233" t="s">
        <v>22</v>
      </c>
      <c r="L1233" t="s">
        <v>22</v>
      </c>
      <c r="M1233">
        <v>7</v>
      </c>
      <c r="N1233" t="s">
        <v>27</v>
      </c>
      <c r="O1233">
        <v>3.6</v>
      </c>
      <c r="P1233">
        <v>22</v>
      </c>
      <c r="Q1233">
        <v>30</v>
      </c>
      <c r="R1233">
        <v>7</v>
      </c>
      <c r="S1233">
        <v>0.86909999999999998</v>
      </c>
    </row>
    <row r="1234" spans="1:19" x14ac:dyDescent="0.25">
      <c r="A1234">
        <v>1038</v>
      </c>
      <c r="B1234">
        <v>1</v>
      </c>
      <c r="C1234" t="s">
        <v>28</v>
      </c>
      <c r="D1234">
        <v>4.57</v>
      </c>
      <c r="E1234">
        <v>1.1000000000000001</v>
      </c>
      <c r="F1234">
        <v>340</v>
      </c>
      <c r="G1234">
        <v>101</v>
      </c>
      <c r="H1234" t="s">
        <v>22</v>
      </c>
      <c r="I1234">
        <v>318</v>
      </c>
      <c r="J1234">
        <v>1600</v>
      </c>
      <c r="K1234" t="s">
        <v>22</v>
      </c>
      <c r="L1234" t="s">
        <v>22</v>
      </c>
      <c r="M1234">
        <v>7</v>
      </c>
      <c r="N1234" t="s">
        <v>29</v>
      </c>
      <c r="O1234">
        <v>3.6</v>
      </c>
      <c r="P1234">
        <v>23</v>
      </c>
      <c r="Q1234">
        <v>30</v>
      </c>
      <c r="R1234">
        <v>7</v>
      </c>
      <c r="S1234">
        <v>0.90329999999999999</v>
      </c>
    </row>
    <row r="1235" spans="1:19" x14ac:dyDescent="0.25">
      <c r="A1235">
        <v>1038</v>
      </c>
      <c r="B1235">
        <v>1</v>
      </c>
      <c r="C1235" t="s">
        <v>40</v>
      </c>
      <c r="D1235">
        <v>6.04</v>
      </c>
      <c r="E1235">
        <v>3.8E-3</v>
      </c>
      <c r="F1235">
        <v>400</v>
      </c>
      <c r="G1235">
        <v>150</v>
      </c>
      <c r="H1235" t="s">
        <v>22</v>
      </c>
      <c r="I1235">
        <v>318</v>
      </c>
      <c r="J1235">
        <v>1600</v>
      </c>
      <c r="K1235" t="s">
        <v>22</v>
      </c>
      <c r="L1235" t="s">
        <v>22</v>
      </c>
      <c r="M1235">
        <v>7</v>
      </c>
      <c r="N1235" t="s">
        <v>38</v>
      </c>
      <c r="O1235">
        <v>3.6</v>
      </c>
      <c r="P1235">
        <v>19</v>
      </c>
      <c r="Q1235">
        <v>30</v>
      </c>
      <c r="R1235">
        <v>7</v>
      </c>
      <c r="S1235">
        <v>0.74460000000000004</v>
      </c>
    </row>
    <row r="1236" spans="1:19" x14ac:dyDescent="0.25">
      <c r="A1236">
        <v>1038</v>
      </c>
      <c r="B1236">
        <v>1</v>
      </c>
      <c r="C1236" t="s">
        <v>26</v>
      </c>
      <c r="D1236">
        <v>3.3</v>
      </c>
      <c r="E1236">
        <v>31.7</v>
      </c>
      <c r="F1236">
        <v>218</v>
      </c>
      <c r="G1236">
        <v>80.2</v>
      </c>
      <c r="H1236" t="s">
        <v>22</v>
      </c>
      <c r="I1236">
        <v>318</v>
      </c>
      <c r="J1236">
        <v>1600</v>
      </c>
      <c r="K1236" t="s">
        <v>22</v>
      </c>
      <c r="L1236" t="s">
        <v>22</v>
      </c>
      <c r="M1236">
        <v>7</v>
      </c>
      <c r="N1236" t="s">
        <v>27</v>
      </c>
      <c r="O1236">
        <v>3.6</v>
      </c>
      <c r="P1236">
        <v>22</v>
      </c>
      <c r="Q1236">
        <v>30</v>
      </c>
      <c r="R1236">
        <v>7</v>
      </c>
      <c r="S1236">
        <v>0.83899999999999997</v>
      </c>
    </row>
    <row r="1237" spans="1:19" x14ac:dyDescent="0.25">
      <c r="A1237">
        <v>1038</v>
      </c>
      <c r="B1237">
        <v>1</v>
      </c>
      <c r="C1237" t="s">
        <v>28</v>
      </c>
      <c r="D1237">
        <v>4.57</v>
      </c>
      <c r="E1237">
        <v>1.1000000000000001</v>
      </c>
      <c r="F1237">
        <v>340</v>
      </c>
      <c r="G1237">
        <v>101</v>
      </c>
      <c r="H1237" t="s">
        <v>22</v>
      </c>
      <c r="I1237">
        <v>318</v>
      </c>
      <c r="J1237">
        <v>1600</v>
      </c>
      <c r="K1237" t="s">
        <v>22</v>
      </c>
      <c r="L1237" t="s">
        <v>22</v>
      </c>
      <c r="M1237">
        <v>7</v>
      </c>
      <c r="N1237" t="s">
        <v>29</v>
      </c>
      <c r="O1237">
        <v>3.6</v>
      </c>
      <c r="P1237">
        <v>23</v>
      </c>
      <c r="Q1237">
        <v>30</v>
      </c>
      <c r="R1237">
        <v>7</v>
      </c>
      <c r="S1237">
        <v>0.75090000000000001</v>
      </c>
    </row>
    <row r="1238" spans="1:19" x14ac:dyDescent="0.25">
      <c r="A1238">
        <v>1038</v>
      </c>
      <c r="B1238">
        <v>1</v>
      </c>
      <c r="C1238" t="s">
        <v>40</v>
      </c>
      <c r="D1238">
        <v>6.04</v>
      </c>
      <c r="E1238">
        <v>3.8E-3</v>
      </c>
      <c r="F1238">
        <v>400</v>
      </c>
      <c r="G1238">
        <v>150</v>
      </c>
      <c r="H1238" t="s">
        <v>22</v>
      </c>
      <c r="I1238">
        <v>318</v>
      </c>
      <c r="J1238">
        <v>1600</v>
      </c>
      <c r="K1238" t="s">
        <v>22</v>
      </c>
      <c r="L1238" t="s">
        <v>22</v>
      </c>
      <c r="M1238">
        <v>7</v>
      </c>
      <c r="N1238" t="s">
        <v>38</v>
      </c>
      <c r="O1238">
        <v>3.6</v>
      </c>
      <c r="P1238">
        <v>19</v>
      </c>
      <c r="Q1238">
        <v>30</v>
      </c>
      <c r="R1238">
        <v>7</v>
      </c>
      <c r="S1238">
        <v>0.4501</v>
      </c>
    </row>
    <row r="1239" spans="1:19" x14ac:dyDescent="0.25">
      <c r="A1239">
        <v>1038</v>
      </c>
      <c r="B1239">
        <v>1</v>
      </c>
      <c r="C1239" t="s">
        <v>26</v>
      </c>
      <c r="D1239">
        <v>3.3</v>
      </c>
      <c r="E1239">
        <v>31.7</v>
      </c>
      <c r="F1239">
        <v>218</v>
      </c>
      <c r="G1239">
        <v>80.2</v>
      </c>
      <c r="H1239" t="s">
        <v>22</v>
      </c>
      <c r="I1239">
        <v>318</v>
      </c>
      <c r="J1239">
        <v>1600</v>
      </c>
      <c r="K1239" t="s">
        <v>22</v>
      </c>
      <c r="L1239" t="s">
        <v>22</v>
      </c>
      <c r="M1239">
        <v>7</v>
      </c>
      <c r="N1239" t="s">
        <v>27</v>
      </c>
      <c r="O1239">
        <v>3.6</v>
      </c>
      <c r="P1239">
        <v>22</v>
      </c>
      <c r="Q1239">
        <v>30</v>
      </c>
      <c r="R1239">
        <v>7</v>
      </c>
      <c r="S1239">
        <v>0.73429999999999995</v>
      </c>
    </row>
    <row r="1240" spans="1:19" x14ac:dyDescent="0.25">
      <c r="A1240">
        <v>1038</v>
      </c>
      <c r="B1240">
        <v>1</v>
      </c>
      <c r="C1240" t="s">
        <v>28</v>
      </c>
      <c r="D1240">
        <v>4.57</v>
      </c>
      <c r="E1240">
        <v>1.1000000000000001</v>
      </c>
      <c r="F1240">
        <v>340</v>
      </c>
      <c r="G1240">
        <v>101</v>
      </c>
      <c r="H1240" t="s">
        <v>22</v>
      </c>
      <c r="I1240">
        <v>318</v>
      </c>
      <c r="J1240">
        <v>1600</v>
      </c>
      <c r="K1240" t="s">
        <v>22</v>
      </c>
      <c r="L1240" t="s">
        <v>22</v>
      </c>
      <c r="M1240">
        <v>7</v>
      </c>
      <c r="N1240" t="s">
        <v>29</v>
      </c>
      <c r="O1240">
        <v>3.6</v>
      </c>
      <c r="P1240">
        <v>23</v>
      </c>
      <c r="Q1240">
        <v>30</v>
      </c>
      <c r="R1240">
        <v>7</v>
      </c>
      <c r="S1240">
        <v>0.69379999999999997</v>
      </c>
    </row>
    <row r="1241" spans="1:19" x14ac:dyDescent="0.25">
      <c r="A1241">
        <v>1038</v>
      </c>
      <c r="B1241">
        <v>1</v>
      </c>
      <c r="C1241" t="s">
        <v>40</v>
      </c>
      <c r="D1241">
        <v>6.04</v>
      </c>
      <c r="E1241">
        <v>3.8E-3</v>
      </c>
      <c r="F1241">
        <v>400</v>
      </c>
      <c r="G1241">
        <v>150</v>
      </c>
      <c r="H1241" t="s">
        <v>22</v>
      </c>
      <c r="I1241">
        <v>318</v>
      </c>
      <c r="J1241">
        <v>1600</v>
      </c>
      <c r="K1241" t="s">
        <v>22</v>
      </c>
      <c r="L1241" t="s">
        <v>22</v>
      </c>
      <c r="M1241">
        <v>7</v>
      </c>
      <c r="N1241" t="s">
        <v>38</v>
      </c>
      <c r="O1241">
        <v>3.6</v>
      </c>
      <c r="P1241">
        <v>19</v>
      </c>
      <c r="Q1241">
        <v>30</v>
      </c>
      <c r="R1241">
        <v>7</v>
      </c>
      <c r="S1241">
        <v>0.35149999999999998</v>
      </c>
    </row>
    <row r="1242" spans="1:19" x14ac:dyDescent="0.25">
      <c r="A1242">
        <v>1038</v>
      </c>
      <c r="B1242">
        <v>1</v>
      </c>
      <c r="C1242" t="s">
        <v>26</v>
      </c>
      <c r="D1242">
        <v>3.3</v>
      </c>
      <c r="E1242">
        <v>31.7</v>
      </c>
      <c r="F1242">
        <v>218</v>
      </c>
      <c r="G1242">
        <v>80.2</v>
      </c>
      <c r="H1242" t="s">
        <v>22</v>
      </c>
      <c r="I1242">
        <v>318</v>
      </c>
      <c r="J1242">
        <v>1600</v>
      </c>
      <c r="K1242" t="s">
        <v>22</v>
      </c>
      <c r="L1242" t="s">
        <v>22</v>
      </c>
      <c r="M1242">
        <v>7</v>
      </c>
      <c r="N1242" t="s">
        <v>27</v>
      </c>
      <c r="O1242">
        <v>3.6</v>
      </c>
      <c r="P1242">
        <v>22</v>
      </c>
      <c r="Q1242">
        <v>30</v>
      </c>
      <c r="R1242">
        <v>7</v>
      </c>
      <c r="S1242">
        <v>0.12959999999999999</v>
      </c>
    </row>
    <row r="1243" spans="1:19" x14ac:dyDescent="0.25">
      <c r="A1243">
        <v>1038</v>
      </c>
      <c r="B1243">
        <v>1</v>
      </c>
      <c r="C1243" t="s">
        <v>28</v>
      </c>
      <c r="D1243">
        <v>4.57</v>
      </c>
      <c r="E1243">
        <v>1.1000000000000001</v>
      </c>
      <c r="F1243">
        <v>340</v>
      </c>
      <c r="G1243">
        <v>101</v>
      </c>
      <c r="H1243" t="s">
        <v>22</v>
      </c>
      <c r="I1243">
        <v>318</v>
      </c>
      <c r="J1243">
        <v>1600</v>
      </c>
      <c r="K1243" t="s">
        <v>22</v>
      </c>
      <c r="L1243" t="s">
        <v>22</v>
      </c>
      <c r="M1243">
        <v>7</v>
      </c>
      <c r="N1243" t="s">
        <v>29</v>
      </c>
      <c r="O1243">
        <v>3.6</v>
      </c>
      <c r="P1243">
        <v>23</v>
      </c>
      <c r="Q1243">
        <v>30</v>
      </c>
      <c r="R1243">
        <v>7</v>
      </c>
      <c r="S1243">
        <v>0.15970000000000001</v>
      </c>
    </row>
    <row r="1244" spans="1:19" x14ac:dyDescent="0.25">
      <c r="A1244">
        <v>1038</v>
      </c>
      <c r="B1244">
        <v>1</v>
      </c>
      <c r="C1244" t="s">
        <v>40</v>
      </c>
      <c r="D1244">
        <v>6.04</v>
      </c>
      <c r="E1244">
        <v>3.8E-3</v>
      </c>
      <c r="F1244">
        <v>400</v>
      </c>
      <c r="G1244">
        <v>150</v>
      </c>
      <c r="H1244" t="s">
        <v>22</v>
      </c>
      <c r="I1244">
        <v>318</v>
      </c>
      <c r="J1244">
        <v>1600</v>
      </c>
      <c r="K1244" t="s">
        <v>22</v>
      </c>
      <c r="L1244" t="s">
        <v>22</v>
      </c>
      <c r="M1244">
        <v>7</v>
      </c>
      <c r="N1244" t="s">
        <v>38</v>
      </c>
      <c r="O1244">
        <v>3.6</v>
      </c>
      <c r="P1244">
        <v>19</v>
      </c>
      <c r="Q1244">
        <v>30</v>
      </c>
      <c r="R1244">
        <v>7</v>
      </c>
      <c r="S1244">
        <v>0.17419999999999999</v>
      </c>
    </row>
    <row r="1245" spans="1:19" x14ac:dyDescent="0.25">
      <c r="A1245">
        <v>1038</v>
      </c>
      <c r="B1245">
        <v>1</v>
      </c>
      <c r="C1245" t="s">
        <v>26</v>
      </c>
      <c r="D1245">
        <v>3.3</v>
      </c>
      <c r="E1245">
        <v>31.7</v>
      </c>
      <c r="F1245">
        <v>218</v>
      </c>
      <c r="G1245">
        <v>80.2</v>
      </c>
      <c r="H1245" t="s">
        <v>22</v>
      </c>
      <c r="I1245">
        <v>318</v>
      </c>
      <c r="J1245">
        <v>1600</v>
      </c>
      <c r="K1245" t="s">
        <v>22</v>
      </c>
      <c r="L1245" t="s">
        <v>22</v>
      </c>
      <c r="M1245">
        <v>7</v>
      </c>
      <c r="N1245" t="s">
        <v>27</v>
      </c>
      <c r="O1245">
        <v>3.6</v>
      </c>
      <c r="P1245">
        <v>22</v>
      </c>
      <c r="Q1245">
        <v>30</v>
      </c>
      <c r="R1245">
        <v>7</v>
      </c>
      <c r="S1245">
        <v>0.46050000000000002</v>
      </c>
    </row>
    <row r="1246" spans="1:19" x14ac:dyDescent="0.25">
      <c r="A1246">
        <v>1038</v>
      </c>
      <c r="B1246">
        <v>1</v>
      </c>
      <c r="C1246" t="s">
        <v>28</v>
      </c>
      <c r="D1246">
        <v>4.57</v>
      </c>
      <c r="E1246">
        <v>1.1000000000000001</v>
      </c>
      <c r="F1246">
        <v>340</v>
      </c>
      <c r="G1246">
        <v>101</v>
      </c>
      <c r="H1246" t="s">
        <v>22</v>
      </c>
      <c r="I1246">
        <v>318</v>
      </c>
      <c r="J1246">
        <v>1600</v>
      </c>
      <c r="K1246" t="s">
        <v>22</v>
      </c>
      <c r="L1246" t="s">
        <v>22</v>
      </c>
      <c r="M1246">
        <v>7</v>
      </c>
      <c r="N1246" t="s">
        <v>29</v>
      </c>
      <c r="O1246">
        <v>3.6</v>
      </c>
      <c r="P1246">
        <v>23</v>
      </c>
      <c r="Q1246">
        <v>30</v>
      </c>
      <c r="R1246">
        <v>7</v>
      </c>
      <c r="S1246">
        <v>0.39610000000000001</v>
      </c>
    </row>
    <row r="1247" spans="1:19" x14ac:dyDescent="0.25">
      <c r="A1247">
        <v>1038</v>
      </c>
      <c r="B1247">
        <v>1</v>
      </c>
      <c r="C1247" t="s">
        <v>40</v>
      </c>
      <c r="D1247">
        <v>6.04</v>
      </c>
      <c r="E1247">
        <v>3.8E-3</v>
      </c>
      <c r="F1247">
        <v>400</v>
      </c>
      <c r="G1247">
        <v>150</v>
      </c>
      <c r="H1247" t="s">
        <v>22</v>
      </c>
      <c r="I1247">
        <v>318</v>
      </c>
      <c r="J1247">
        <v>1600</v>
      </c>
      <c r="K1247" t="s">
        <v>22</v>
      </c>
      <c r="L1247" t="s">
        <v>22</v>
      </c>
      <c r="M1247">
        <v>7</v>
      </c>
      <c r="N1247" t="s">
        <v>38</v>
      </c>
      <c r="O1247">
        <v>3.6</v>
      </c>
      <c r="P1247">
        <v>19</v>
      </c>
      <c r="Q1247">
        <v>30</v>
      </c>
      <c r="R1247">
        <v>7</v>
      </c>
      <c r="S1247">
        <v>0.33700000000000002</v>
      </c>
    </row>
    <row r="1248" spans="1:19" x14ac:dyDescent="0.25">
      <c r="A1248">
        <v>1038</v>
      </c>
      <c r="B1248">
        <v>2</v>
      </c>
      <c r="C1248" t="s">
        <v>40</v>
      </c>
      <c r="D1248">
        <v>6.04</v>
      </c>
      <c r="E1248">
        <v>3.8E-3</v>
      </c>
      <c r="F1248">
        <v>400</v>
      </c>
      <c r="G1248">
        <v>150</v>
      </c>
      <c r="H1248" t="s">
        <v>22</v>
      </c>
      <c r="I1248">
        <v>318</v>
      </c>
      <c r="J1248">
        <v>1600</v>
      </c>
      <c r="K1248" t="s">
        <v>22</v>
      </c>
      <c r="L1248" t="s">
        <v>22</v>
      </c>
      <c r="M1248">
        <v>5</v>
      </c>
      <c r="N1248" t="s">
        <v>38</v>
      </c>
      <c r="O1248">
        <v>3.6</v>
      </c>
      <c r="P1248">
        <v>19</v>
      </c>
      <c r="Q1248">
        <v>30</v>
      </c>
      <c r="R1248">
        <v>7</v>
      </c>
      <c r="S1248">
        <v>0.20369999999999999</v>
      </c>
    </row>
    <row r="1249" spans="1:19" x14ac:dyDescent="0.25">
      <c r="A1249">
        <v>1038</v>
      </c>
      <c r="B1249">
        <v>2</v>
      </c>
      <c r="C1249" t="s">
        <v>40</v>
      </c>
      <c r="D1249">
        <v>6.04</v>
      </c>
      <c r="E1249">
        <v>3.8E-3</v>
      </c>
      <c r="F1249">
        <v>400</v>
      </c>
      <c r="G1249">
        <v>150</v>
      </c>
      <c r="H1249" t="s">
        <v>22</v>
      </c>
      <c r="I1249">
        <v>318</v>
      </c>
      <c r="J1249">
        <v>1600</v>
      </c>
      <c r="K1249" t="s">
        <v>22</v>
      </c>
      <c r="L1249" t="s">
        <v>22</v>
      </c>
      <c r="M1249">
        <v>6</v>
      </c>
      <c r="N1249" t="s">
        <v>38</v>
      </c>
      <c r="O1249">
        <v>3.6</v>
      </c>
      <c r="P1249">
        <v>19</v>
      </c>
      <c r="Q1249">
        <v>30</v>
      </c>
      <c r="R1249">
        <v>7</v>
      </c>
      <c r="S1249">
        <v>0.22919999999999999</v>
      </c>
    </row>
    <row r="1250" spans="1:19" x14ac:dyDescent="0.25">
      <c r="A1250">
        <v>1038</v>
      </c>
      <c r="B1250">
        <v>2</v>
      </c>
      <c r="C1250" t="s">
        <v>40</v>
      </c>
      <c r="D1250">
        <v>6.04</v>
      </c>
      <c r="E1250">
        <v>3.8E-3</v>
      </c>
      <c r="F1250">
        <v>400</v>
      </c>
      <c r="G1250">
        <v>150</v>
      </c>
      <c r="H1250" t="s">
        <v>22</v>
      </c>
      <c r="I1250">
        <v>318</v>
      </c>
      <c r="J1250">
        <v>1600</v>
      </c>
      <c r="K1250" t="s">
        <v>22</v>
      </c>
      <c r="L1250" t="s">
        <v>22</v>
      </c>
      <c r="M1250">
        <v>7</v>
      </c>
      <c r="N1250" t="s">
        <v>38</v>
      </c>
      <c r="O1250">
        <v>3.6</v>
      </c>
      <c r="P1250">
        <v>19</v>
      </c>
      <c r="Q1250">
        <v>30</v>
      </c>
      <c r="R1250">
        <v>7</v>
      </c>
      <c r="S1250">
        <v>0.35410000000000003</v>
      </c>
    </row>
    <row r="1251" spans="1:19" x14ac:dyDescent="0.25">
      <c r="A1251">
        <v>1038</v>
      </c>
      <c r="B1251">
        <v>2</v>
      </c>
      <c r="C1251" t="s">
        <v>40</v>
      </c>
      <c r="D1251">
        <v>6.04</v>
      </c>
      <c r="E1251">
        <v>3.8E-3</v>
      </c>
      <c r="F1251">
        <v>400</v>
      </c>
      <c r="G1251">
        <v>150</v>
      </c>
      <c r="H1251" t="s">
        <v>22</v>
      </c>
      <c r="I1251">
        <v>318</v>
      </c>
      <c r="J1251">
        <v>1600</v>
      </c>
      <c r="K1251" t="s">
        <v>22</v>
      </c>
      <c r="L1251" t="s">
        <v>22</v>
      </c>
      <c r="M1251">
        <v>8</v>
      </c>
      <c r="N1251" t="s">
        <v>38</v>
      </c>
      <c r="O1251">
        <v>3.6</v>
      </c>
      <c r="P1251">
        <v>19</v>
      </c>
      <c r="Q1251">
        <v>30</v>
      </c>
      <c r="R1251">
        <v>7</v>
      </c>
      <c r="S1251">
        <v>0.28649999999999998</v>
      </c>
    </row>
    <row r="1252" spans="1:19" x14ac:dyDescent="0.25">
      <c r="A1252">
        <v>1038</v>
      </c>
      <c r="B1252">
        <v>2</v>
      </c>
      <c r="C1252" t="s">
        <v>40</v>
      </c>
      <c r="D1252">
        <v>6.04</v>
      </c>
      <c r="E1252">
        <v>3.8E-3</v>
      </c>
      <c r="F1252">
        <v>400</v>
      </c>
      <c r="G1252">
        <v>150</v>
      </c>
      <c r="H1252" t="s">
        <v>22</v>
      </c>
      <c r="I1252">
        <v>318</v>
      </c>
      <c r="J1252">
        <v>1600</v>
      </c>
      <c r="K1252" t="s">
        <v>22</v>
      </c>
      <c r="L1252" t="s">
        <v>22</v>
      </c>
      <c r="M1252">
        <v>9</v>
      </c>
      <c r="N1252" t="s">
        <v>38</v>
      </c>
      <c r="O1252">
        <v>3.6</v>
      </c>
      <c r="P1252">
        <v>19</v>
      </c>
      <c r="Q1252">
        <v>30</v>
      </c>
      <c r="R1252">
        <v>7</v>
      </c>
      <c r="S1252">
        <v>0.14749999999999999</v>
      </c>
    </row>
    <row r="1253" spans="1:19" x14ac:dyDescent="0.25">
      <c r="A1253">
        <v>1038</v>
      </c>
      <c r="B1253">
        <v>2</v>
      </c>
      <c r="C1253" t="s">
        <v>40</v>
      </c>
      <c r="D1253">
        <v>6.04</v>
      </c>
      <c r="E1253">
        <v>3.8E-3</v>
      </c>
      <c r="F1253">
        <v>400</v>
      </c>
      <c r="G1253">
        <v>150</v>
      </c>
      <c r="H1253" t="s">
        <v>22</v>
      </c>
      <c r="I1253">
        <v>318</v>
      </c>
      <c r="J1253">
        <v>1600</v>
      </c>
      <c r="K1253" t="s">
        <v>22</v>
      </c>
      <c r="L1253" t="s">
        <v>22</v>
      </c>
      <c r="M1253">
        <v>5</v>
      </c>
      <c r="N1253" t="s">
        <v>38</v>
      </c>
      <c r="O1253">
        <v>3.6</v>
      </c>
      <c r="P1253">
        <v>19</v>
      </c>
      <c r="Q1253">
        <v>30</v>
      </c>
      <c r="R1253">
        <v>7</v>
      </c>
      <c r="S1253">
        <v>0.1991</v>
      </c>
    </row>
    <row r="1254" spans="1:19" x14ac:dyDescent="0.25">
      <c r="A1254">
        <v>1038</v>
      </c>
      <c r="B1254">
        <v>2</v>
      </c>
      <c r="C1254" t="s">
        <v>40</v>
      </c>
      <c r="D1254">
        <v>6.04</v>
      </c>
      <c r="E1254">
        <v>3.8E-3</v>
      </c>
      <c r="F1254">
        <v>400</v>
      </c>
      <c r="G1254">
        <v>150</v>
      </c>
      <c r="H1254" t="s">
        <v>22</v>
      </c>
      <c r="I1254">
        <v>318</v>
      </c>
      <c r="J1254">
        <v>1600</v>
      </c>
      <c r="K1254" t="s">
        <v>22</v>
      </c>
      <c r="L1254" t="s">
        <v>22</v>
      </c>
      <c r="M1254">
        <v>6</v>
      </c>
      <c r="N1254" t="s">
        <v>38</v>
      </c>
      <c r="O1254">
        <v>3.6</v>
      </c>
      <c r="P1254">
        <v>19</v>
      </c>
      <c r="Q1254">
        <v>30</v>
      </c>
      <c r="R1254">
        <v>7</v>
      </c>
      <c r="S1254">
        <v>0.246</v>
      </c>
    </row>
    <row r="1255" spans="1:19" x14ac:dyDescent="0.25">
      <c r="A1255">
        <v>1038</v>
      </c>
      <c r="B1255">
        <v>2</v>
      </c>
      <c r="C1255" t="s">
        <v>40</v>
      </c>
      <c r="D1255">
        <v>6.04</v>
      </c>
      <c r="E1255">
        <v>3.8E-3</v>
      </c>
      <c r="F1255">
        <v>400</v>
      </c>
      <c r="G1255">
        <v>150</v>
      </c>
      <c r="H1255" t="s">
        <v>22</v>
      </c>
      <c r="I1255">
        <v>318</v>
      </c>
      <c r="J1255">
        <v>1600</v>
      </c>
      <c r="K1255" t="s">
        <v>22</v>
      </c>
      <c r="L1255" t="s">
        <v>22</v>
      </c>
      <c r="M1255">
        <v>7</v>
      </c>
      <c r="N1255" t="s">
        <v>38</v>
      </c>
      <c r="O1255">
        <v>3.6</v>
      </c>
      <c r="P1255">
        <v>19</v>
      </c>
      <c r="Q1255">
        <v>30</v>
      </c>
      <c r="R1255">
        <v>7</v>
      </c>
      <c r="S1255">
        <v>0.36159999999999998</v>
      </c>
    </row>
    <row r="1256" spans="1:19" x14ac:dyDescent="0.25">
      <c r="A1256">
        <v>1038</v>
      </c>
      <c r="B1256">
        <v>2</v>
      </c>
      <c r="C1256" t="s">
        <v>40</v>
      </c>
      <c r="D1256">
        <v>6.04</v>
      </c>
      <c r="E1256">
        <v>3.8E-3</v>
      </c>
      <c r="F1256">
        <v>400</v>
      </c>
      <c r="G1256">
        <v>150</v>
      </c>
      <c r="H1256" t="s">
        <v>22</v>
      </c>
      <c r="I1256">
        <v>318</v>
      </c>
      <c r="J1256">
        <v>1600</v>
      </c>
      <c r="K1256" t="s">
        <v>22</v>
      </c>
      <c r="L1256" t="s">
        <v>22</v>
      </c>
      <c r="M1256">
        <v>8</v>
      </c>
      <c r="N1256" t="s">
        <v>38</v>
      </c>
      <c r="O1256">
        <v>3.6</v>
      </c>
      <c r="P1256">
        <v>19</v>
      </c>
      <c r="Q1256">
        <v>30</v>
      </c>
      <c r="R1256">
        <v>7</v>
      </c>
      <c r="S1256">
        <v>0.36549999999999999</v>
      </c>
    </row>
    <row r="1257" spans="1:19" x14ac:dyDescent="0.25">
      <c r="A1257">
        <v>1038</v>
      </c>
      <c r="B1257">
        <v>2</v>
      </c>
      <c r="C1257" t="s">
        <v>40</v>
      </c>
      <c r="D1257">
        <v>6.04</v>
      </c>
      <c r="E1257">
        <v>3.8E-3</v>
      </c>
      <c r="F1257">
        <v>400</v>
      </c>
      <c r="G1257">
        <v>150</v>
      </c>
      <c r="H1257" t="s">
        <v>22</v>
      </c>
      <c r="I1257">
        <v>318</v>
      </c>
      <c r="J1257">
        <v>1600</v>
      </c>
      <c r="K1257" t="s">
        <v>22</v>
      </c>
      <c r="L1257" t="s">
        <v>22</v>
      </c>
      <c r="M1257">
        <v>9</v>
      </c>
      <c r="N1257" t="s">
        <v>38</v>
      </c>
      <c r="O1257">
        <v>3.6</v>
      </c>
      <c r="P1257">
        <v>19</v>
      </c>
      <c r="Q1257">
        <v>30</v>
      </c>
      <c r="R1257">
        <v>7</v>
      </c>
      <c r="S1257">
        <v>0.18590000000000001</v>
      </c>
    </row>
    <row r="1258" spans="1:19" x14ac:dyDescent="0.25">
      <c r="A1258">
        <v>1038</v>
      </c>
      <c r="B1258">
        <v>3</v>
      </c>
      <c r="C1258" t="s">
        <v>40</v>
      </c>
      <c r="D1258">
        <v>6.04</v>
      </c>
      <c r="E1258">
        <v>3.8E-3</v>
      </c>
      <c r="F1258">
        <v>400</v>
      </c>
      <c r="G1258">
        <v>150</v>
      </c>
      <c r="H1258" t="s">
        <v>22</v>
      </c>
      <c r="I1258">
        <v>318</v>
      </c>
      <c r="J1258">
        <v>1600</v>
      </c>
      <c r="K1258" t="s">
        <v>22</v>
      </c>
      <c r="L1258" t="s">
        <v>22</v>
      </c>
      <c r="M1258">
        <v>7</v>
      </c>
      <c r="N1258" t="s">
        <v>38</v>
      </c>
      <c r="O1258">
        <v>3.6</v>
      </c>
      <c r="P1258">
        <v>19</v>
      </c>
      <c r="Q1258">
        <v>20</v>
      </c>
      <c r="R1258">
        <v>7</v>
      </c>
      <c r="S1258">
        <v>0.1154</v>
      </c>
    </row>
    <row r="1259" spans="1:19" x14ac:dyDescent="0.25">
      <c r="A1259">
        <v>1038</v>
      </c>
      <c r="B1259">
        <v>3</v>
      </c>
      <c r="C1259" t="s">
        <v>40</v>
      </c>
      <c r="D1259">
        <v>6.04</v>
      </c>
      <c r="E1259">
        <v>3.8E-3</v>
      </c>
      <c r="F1259">
        <v>400</v>
      </c>
      <c r="G1259">
        <v>150</v>
      </c>
      <c r="H1259" t="s">
        <v>22</v>
      </c>
      <c r="I1259">
        <v>318</v>
      </c>
      <c r="J1259">
        <v>1600</v>
      </c>
      <c r="K1259" t="s">
        <v>22</v>
      </c>
      <c r="L1259" t="s">
        <v>22</v>
      </c>
      <c r="M1259">
        <v>7</v>
      </c>
      <c r="N1259" t="s">
        <v>38</v>
      </c>
      <c r="O1259">
        <v>3.6</v>
      </c>
      <c r="P1259">
        <v>19</v>
      </c>
      <c r="Q1259">
        <v>25</v>
      </c>
      <c r="R1259">
        <v>7</v>
      </c>
      <c r="S1259">
        <v>0.19270000000000001</v>
      </c>
    </row>
    <row r="1260" spans="1:19" x14ac:dyDescent="0.25">
      <c r="A1260">
        <v>1038</v>
      </c>
      <c r="B1260">
        <v>3</v>
      </c>
      <c r="C1260" t="s">
        <v>40</v>
      </c>
      <c r="D1260">
        <v>6.04</v>
      </c>
      <c r="E1260">
        <v>3.8E-3</v>
      </c>
      <c r="F1260">
        <v>400</v>
      </c>
      <c r="G1260">
        <v>150</v>
      </c>
      <c r="H1260" t="s">
        <v>22</v>
      </c>
      <c r="I1260">
        <v>318</v>
      </c>
      <c r="J1260">
        <v>1600</v>
      </c>
      <c r="K1260" t="s">
        <v>22</v>
      </c>
      <c r="L1260" t="s">
        <v>22</v>
      </c>
      <c r="M1260">
        <v>7</v>
      </c>
      <c r="N1260" t="s">
        <v>38</v>
      </c>
      <c r="O1260">
        <v>3.6</v>
      </c>
      <c r="P1260">
        <v>19</v>
      </c>
      <c r="Q1260">
        <v>30</v>
      </c>
      <c r="R1260">
        <v>7</v>
      </c>
      <c r="S1260">
        <v>0.376</v>
      </c>
    </row>
    <row r="1261" spans="1:19" x14ac:dyDescent="0.25">
      <c r="A1261">
        <v>1038</v>
      </c>
      <c r="B1261">
        <v>3</v>
      </c>
      <c r="C1261" t="s">
        <v>40</v>
      </c>
      <c r="D1261">
        <v>6.04</v>
      </c>
      <c r="E1261">
        <v>3.8E-3</v>
      </c>
      <c r="F1261">
        <v>400</v>
      </c>
      <c r="G1261">
        <v>150</v>
      </c>
      <c r="H1261" t="s">
        <v>22</v>
      </c>
      <c r="I1261">
        <v>318</v>
      </c>
      <c r="J1261">
        <v>1600</v>
      </c>
      <c r="K1261" t="s">
        <v>22</v>
      </c>
      <c r="L1261" t="s">
        <v>22</v>
      </c>
      <c r="M1261">
        <v>7</v>
      </c>
      <c r="N1261" t="s">
        <v>38</v>
      </c>
      <c r="O1261">
        <v>3.6</v>
      </c>
      <c r="P1261">
        <v>19</v>
      </c>
      <c r="Q1261">
        <v>35</v>
      </c>
      <c r="R1261">
        <v>7</v>
      </c>
      <c r="S1261">
        <v>0.27439999999999998</v>
      </c>
    </row>
    <row r="1262" spans="1:19" x14ac:dyDescent="0.25">
      <c r="A1262">
        <v>1038</v>
      </c>
      <c r="B1262">
        <v>3</v>
      </c>
      <c r="C1262" t="s">
        <v>40</v>
      </c>
      <c r="D1262">
        <v>6.04</v>
      </c>
      <c r="E1262">
        <v>3.8E-3</v>
      </c>
      <c r="F1262">
        <v>400</v>
      </c>
      <c r="G1262">
        <v>150</v>
      </c>
      <c r="H1262" t="s">
        <v>22</v>
      </c>
      <c r="I1262">
        <v>318</v>
      </c>
      <c r="J1262">
        <v>1600</v>
      </c>
      <c r="K1262" t="s">
        <v>22</v>
      </c>
      <c r="L1262" t="s">
        <v>22</v>
      </c>
      <c r="M1262">
        <v>7</v>
      </c>
      <c r="N1262" t="s">
        <v>38</v>
      </c>
      <c r="O1262">
        <v>3.6</v>
      </c>
      <c r="P1262">
        <v>19</v>
      </c>
      <c r="Q1262">
        <v>40</v>
      </c>
      <c r="R1262">
        <v>7</v>
      </c>
      <c r="S1262">
        <v>0.1045</v>
      </c>
    </row>
    <row r="1263" spans="1:19" x14ac:dyDescent="0.25">
      <c r="A1263">
        <v>1038</v>
      </c>
      <c r="B1263">
        <v>3</v>
      </c>
      <c r="C1263" t="s">
        <v>40</v>
      </c>
      <c r="D1263">
        <v>6.04</v>
      </c>
      <c r="E1263">
        <v>3.8E-3</v>
      </c>
      <c r="F1263">
        <v>400</v>
      </c>
      <c r="G1263">
        <v>150</v>
      </c>
      <c r="H1263" t="s">
        <v>22</v>
      </c>
      <c r="I1263">
        <v>318</v>
      </c>
      <c r="J1263">
        <v>1600</v>
      </c>
      <c r="K1263" t="s">
        <v>22</v>
      </c>
      <c r="L1263" t="s">
        <v>22</v>
      </c>
      <c r="M1263">
        <v>7</v>
      </c>
      <c r="N1263" t="s">
        <v>38</v>
      </c>
      <c r="O1263">
        <v>3.6</v>
      </c>
      <c r="P1263">
        <v>19</v>
      </c>
      <c r="Q1263">
        <v>20</v>
      </c>
      <c r="R1263">
        <v>7</v>
      </c>
      <c r="S1263">
        <v>0.18290000000000001</v>
      </c>
    </row>
    <row r="1264" spans="1:19" x14ac:dyDescent="0.25">
      <c r="A1264">
        <v>1038</v>
      </c>
      <c r="B1264">
        <v>3</v>
      </c>
      <c r="C1264" t="s">
        <v>40</v>
      </c>
      <c r="D1264">
        <v>6.04</v>
      </c>
      <c r="E1264">
        <v>3.8E-3</v>
      </c>
      <c r="F1264">
        <v>400</v>
      </c>
      <c r="G1264">
        <v>150</v>
      </c>
      <c r="H1264" t="s">
        <v>22</v>
      </c>
      <c r="I1264">
        <v>318</v>
      </c>
      <c r="J1264">
        <v>1600</v>
      </c>
      <c r="K1264" t="s">
        <v>22</v>
      </c>
      <c r="L1264" t="s">
        <v>22</v>
      </c>
      <c r="M1264">
        <v>7</v>
      </c>
      <c r="N1264" t="s">
        <v>38</v>
      </c>
      <c r="O1264">
        <v>3.6</v>
      </c>
      <c r="P1264">
        <v>19</v>
      </c>
      <c r="Q1264">
        <v>25</v>
      </c>
      <c r="R1264">
        <v>7</v>
      </c>
      <c r="S1264">
        <v>0.20580000000000001</v>
      </c>
    </row>
    <row r="1265" spans="1:19" x14ac:dyDescent="0.25">
      <c r="A1265">
        <v>1038</v>
      </c>
      <c r="B1265">
        <v>3</v>
      </c>
      <c r="C1265" t="s">
        <v>40</v>
      </c>
      <c r="D1265">
        <v>6.04</v>
      </c>
      <c r="E1265">
        <v>3.8E-3</v>
      </c>
      <c r="F1265">
        <v>400</v>
      </c>
      <c r="G1265">
        <v>150</v>
      </c>
      <c r="H1265" t="s">
        <v>22</v>
      </c>
      <c r="I1265">
        <v>318</v>
      </c>
      <c r="J1265">
        <v>1600</v>
      </c>
      <c r="K1265" t="s">
        <v>22</v>
      </c>
      <c r="L1265" t="s">
        <v>22</v>
      </c>
      <c r="M1265">
        <v>7</v>
      </c>
      <c r="N1265" t="s">
        <v>38</v>
      </c>
      <c r="O1265">
        <v>3.6</v>
      </c>
      <c r="P1265">
        <v>19</v>
      </c>
      <c r="Q1265">
        <v>30</v>
      </c>
      <c r="R1265">
        <v>7</v>
      </c>
      <c r="S1265">
        <v>0.38250000000000001</v>
      </c>
    </row>
    <row r="1266" spans="1:19" x14ac:dyDescent="0.25">
      <c r="A1266">
        <v>1038</v>
      </c>
      <c r="B1266">
        <v>3</v>
      </c>
      <c r="C1266" t="s">
        <v>40</v>
      </c>
      <c r="D1266">
        <v>6.04</v>
      </c>
      <c r="E1266">
        <v>3.8E-3</v>
      </c>
      <c r="F1266">
        <v>400</v>
      </c>
      <c r="G1266">
        <v>150</v>
      </c>
      <c r="H1266" t="s">
        <v>22</v>
      </c>
      <c r="I1266">
        <v>318</v>
      </c>
      <c r="J1266">
        <v>1600</v>
      </c>
      <c r="K1266" t="s">
        <v>22</v>
      </c>
      <c r="L1266" t="s">
        <v>22</v>
      </c>
      <c r="M1266">
        <v>7</v>
      </c>
      <c r="N1266" t="s">
        <v>38</v>
      </c>
      <c r="O1266">
        <v>3.6</v>
      </c>
      <c r="P1266">
        <v>19</v>
      </c>
      <c r="Q1266">
        <v>35</v>
      </c>
      <c r="R1266">
        <v>7</v>
      </c>
      <c r="S1266">
        <v>0.29210000000000003</v>
      </c>
    </row>
    <row r="1267" spans="1:19" x14ac:dyDescent="0.25">
      <c r="A1267">
        <v>1038</v>
      </c>
      <c r="B1267">
        <v>3</v>
      </c>
      <c r="C1267" t="s">
        <v>40</v>
      </c>
      <c r="D1267">
        <v>6.04</v>
      </c>
      <c r="E1267">
        <v>3.8E-3</v>
      </c>
      <c r="F1267">
        <v>400</v>
      </c>
      <c r="G1267">
        <v>150</v>
      </c>
      <c r="H1267" t="s">
        <v>22</v>
      </c>
      <c r="I1267">
        <v>318</v>
      </c>
      <c r="J1267">
        <v>1600</v>
      </c>
      <c r="K1267" t="s">
        <v>22</v>
      </c>
      <c r="L1267" t="s">
        <v>22</v>
      </c>
      <c r="M1267">
        <v>7</v>
      </c>
      <c r="N1267" t="s">
        <v>38</v>
      </c>
      <c r="O1267">
        <v>3.6</v>
      </c>
      <c r="P1267">
        <v>19</v>
      </c>
      <c r="Q1267">
        <v>40</v>
      </c>
      <c r="R1267">
        <v>7</v>
      </c>
      <c r="S1267">
        <v>0.1535</v>
      </c>
    </row>
    <row r="1268" spans="1:19" x14ac:dyDescent="0.25">
      <c r="A1268">
        <v>1038</v>
      </c>
      <c r="B1268">
        <v>4</v>
      </c>
      <c r="C1268" t="s">
        <v>40</v>
      </c>
      <c r="D1268">
        <v>6.04</v>
      </c>
      <c r="E1268">
        <v>3.8E-3</v>
      </c>
      <c r="F1268">
        <v>400</v>
      </c>
      <c r="G1268">
        <v>150</v>
      </c>
      <c r="H1268" t="s">
        <v>22</v>
      </c>
      <c r="I1268">
        <v>318</v>
      </c>
      <c r="J1268">
        <v>1600</v>
      </c>
      <c r="K1268" t="s">
        <v>22</v>
      </c>
      <c r="L1268" t="s">
        <v>22</v>
      </c>
      <c r="M1268">
        <v>7</v>
      </c>
      <c r="N1268" t="s">
        <v>38</v>
      </c>
      <c r="O1268">
        <v>3.6</v>
      </c>
      <c r="P1268">
        <v>19</v>
      </c>
      <c r="Q1268">
        <v>30</v>
      </c>
      <c r="R1268">
        <v>7</v>
      </c>
      <c r="S1268">
        <v>0.79479999999999995</v>
      </c>
    </row>
    <row r="1269" spans="1:19" x14ac:dyDescent="0.25">
      <c r="A1269">
        <v>1038</v>
      </c>
      <c r="B1269">
        <v>4</v>
      </c>
      <c r="C1269" t="s">
        <v>40</v>
      </c>
      <c r="D1269">
        <v>6.04</v>
      </c>
      <c r="E1269">
        <v>3.8E-3</v>
      </c>
      <c r="F1269">
        <v>400</v>
      </c>
      <c r="G1269">
        <v>150</v>
      </c>
      <c r="H1269" t="s">
        <v>22</v>
      </c>
      <c r="I1269">
        <v>318</v>
      </c>
      <c r="J1269">
        <v>1600</v>
      </c>
      <c r="K1269" t="s">
        <v>22</v>
      </c>
      <c r="L1269" t="s">
        <v>22</v>
      </c>
      <c r="M1269">
        <v>7</v>
      </c>
      <c r="N1269" t="s">
        <v>38</v>
      </c>
      <c r="O1269">
        <v>3.6</v>
      </c>
      <c r="P1269">
        <v>19</v>
      </c>
      <c r="Q1269">
        <v>30</v>
      </c>
      <c r="R1269">
        <v>7</v>
      </c>
      <c r="S1269">
        <v>0.78979999999999995</v>
      </c>
    </row>
    <row r="1270" spans="1:19" x14ac:dyDescent="0.25">
      <c r="A1270">
        <v>1038</v>
      </c>
      <c r="B1270">
        <v>4</v>
      </c>
      <c r="C1270" t="s">
        <v>40</v>
      </c>
      <c r="D1270">
        <v>6.04</v>
      </c>
      <c r="E1270">
        <v>3.8E-3</v>
      </c>
      <c r="F1270">
        <v>400</v>
      </c>
      <c r="G1270">
        <v>150</v>
      </c>
      <c r="H1270" t="s">
        <v>22</v>
      </c>
      <c r="I1270">
        <v>318</v>
      </c>
      <c r="J1270">
        <v>1600</v>
      </c>
      <c r="K1270" t="s">
        <v>22</v>
      </c>
      <c r="L1270" t="s">
        <v>22</v>
      </c>
      <c r="M1270">
        <v>7</v>
      </c>
      <c r="N1270" t="s">
        <v>38</v>
      </c>
      <c r="O1270">
        <v>3.6</v>
      </c>
      <c r="P1270">
        <v>19</v>
      </c>
      <c r="Q1270">
        <v>30</v>
      </c>
      <c r="R1270">
        <v>7</v>
      </c>
      <c r="S1270">
        <v>0.81079999999999997</v>
      </c>
    </row>
    <row r="1271" spans="1:19" x14ac:dyDescent="0.25">
      <c r="A1271">
        <v>1038</v>
      </c>
      <c r="B1271">
        <v>4</v>
      </c>
      <c r="C1271" t="s">
        <v>40</v>
      </c>
      <c r="D1271">
        <v>6.04</v>
      </c>
      <c r="E1271">
        <v>3.8E-3</v>
      </c>
      <c r="F1271">
        <v>400</v>
      </c>
      <c r="G1271">
        <v>150</v>
      </c>
      <c r="H1271" t="s">
        <v>22</v>
      </c>
      <c r="I1271">
        <v>318</v>
      </c>
      <c r="J1271">
        <v>1600</v>
      </c>
      <c r="K1271" t="s">
        <v>22</v>
      </c>
      <c r="L1271" t="s">
        <v>22</v>
      </c>
      <c r="M1271">
        <v>7</v>
      </c>
      <c r="N1271" t="s">
        <v>38</v>
      </c>
      <c r="O1271">
        <v>3.6</v>
      </c>
      <c r="P1271">
        <v>19</v>
      </c>
      <c r="Q1271">
        <v>30</v>
      </c>
      <c r="R1271">
        <v>7</v>
      </c>
      <c r="S1271">
        <v>0.80020000000000002</v>
      </c>
    </row>
    <row r="1272" spans="1:19" x14ac:dyDescent="0.25">
      <c r="A1272">
        <v>1038</v>
      </c>
      <c r="B1272">
        <v>4</v>
      </c>
      <c r="C1272" t="s">
        <v>40</v>
      </c>
      <c r="D1272">
        <v>6.04</v>
      </c>
      <c r="E1272">
        <v>3.8E-3</v>
      </c>
      <c r="F1272">
        <v>400</v>
      </c>
      <c r="G1272">
        <v>150</v>
      </c>
      <c r="H1272" t="s">
        <v>22</v>
      </c>
      <c r="I1272">
        <v>318</v>
      </c>
      <c r="J1272">
        <v>1600</v>
      </c>
      <c r="K1272" t="s">
        <v>22</v>
      </c>
      <c r="L1272" t="s">
        <v>22</v>
      </c>
      <c r="M1272">
        <v>7</v>
      </c>
      <c r="N1272" t="s">
        <v>38</v>
      </c>
      <c r="O1272">
        <v>3.6</v>
      </c>
      <c r="P1272">
        <v>19</v>
      </c>
      <c r="Q1272">
        <v>30</v>
      </c>
      <c r="R1272">
        <v>7</v>
      </c>
      <c r="S1272">
        <v>0.78059999999999996</v>
      </c>
    </row>
    <row r="1273" spans="1:19" x14ac:dyDescent="0.25">
      <c r="A1273">
        <v>1038</v>
      </c>
      <c r="B1273">
        <v>4</v>
      </c>
      <c r="C1273" t="s">
        <v>40</v>
      </c>
      <c r="D1273">
        <v>6.04</v>
      </c>
      <c r="E1273">
        <v>3.8E-3</v>
      </c>
      <c r="F1273">
        <v>400</v>
      </c>
      <c r="G1273">
        <v>150</v>
      </c>
      <c r="H1273" t="s">
        <v>22</v>
      </c>
      <c r="I1273">
        <v>318</v>
      </c>
      <c r="J1273">
        <v>1600</v>
      </c>
      <c r="K1273" t="s">
        <v>22</v>
      </c>
      <c r="L1273" t="s">
        <v>22</v>
      </c>
      <c r="M1273">
        <v>7</v>
      </c>
      <c r="N1273" t="s">
        <v>38</v>
      </c>
      <c r="O1273">
        <v>3.6</v>
      </c>
      <c r="P1273">
        <v>19</v>
      </c>
      <c r="Q1273">
        <v>30</v>
      </c>
      <c r="R1273">
        <v>7</v>
      </c>
      <c r="S1273">
        <v>0.7792</v>
      </c>
    </row>
    <row r="1274" spans="1:19" x14ac:dyDescent="0.25">
      <c r="A1274">
        <v>1038</v>
      </c>
      <c r="B1274">
        <v>4</v>
      </c>
      <c r="C1274" t="s">
        <v>40</v>
      </c>
      <c r="D1274">
        <v>6.04</v>
      </c>
      <c r="E1274">
        <v>3.8E-3</v>
      </c>
      <c r="F1274">
        <v>400</v>
      </c>
      <c r="G1274">
        <v>150</v>
      </c>
      <c r="H1274" t="s">
        <v>22</v>
      </c>
      <c r="I1274">
        <v>318</v>
      </c>
      <c r="J1274">
        <v>1600</v>
      </c>
      <c r="K1274" t="s">
        <v>22</v>
      </c>
      <c r="L1274" t="s">
        <v>22</v>
      </c>
      <c r="M1274">
        <v>7</v>
      </c>
      <c r="N1274" t="s">
        <v>38</v>
      </c>
      <c r="O1274">
        <v>3.6</v>
      </c>
      <c r="P1274">
        <v>19</v>
      </c>
      <c r="Q1274">
        <v>30</v>
      </c>
      <c r="R1274">
        <v>7</v>
      </c>
      <c r="S1274">
        <v>0.79720000000000002</v>
      </c>
    </row>
    <row r="1275" spans="1:19" x14ac:dyDescent="0.25">
      <c r="A1275">
        <v>1038</v>
      </c>
      <c r="B1275">
        <v>4</v>
      </c>
      <c r="C1275" t="s">
        <v>40</v>
      </c>
      <c r="D1275">
        <v>6.04</v>
      </c>
      <c r="E1275">
        <v>3.8E-3</v>
      </c>
      <c r="F1275">
        <v>400</v>
      </c>
      <c r="G1275">
        <v>150</v>
      </c>
      <c r="H1275" t="s">
        <v>22</v>
      </c>
      <c r="I1275">
        <v>318</v>
      </c>
      <c r="J1275">
        <v>1600</v>
      </c>
      <c r="K1275" t="s">
        <v>22</v>
      </c>
      <c r="L1275" t="s">
        <v>22</v>
      </c>
      <c r="M1275">
        <v>7</v>
      </c>
      <c r="N1275" t="s">
        <v>38</v>
      </c>
      <c r="O1275">
        <v>3.6</v>
      </c>
      <c r="P1275">
        <v>19</v>
      </c>
      <c r="Q1275">
        <v>30</v>
      </c>
      <c r="R1275">
        <v>7</v>
      </c>
      <c r="S1275">
        <v>0.79039999999999999</v>
      </c>
    </row>
    <row r="1276" spans="1:19" x14ac:dyDescent="0.25">
      <c r="A1276">
        <v>1038</v>
      </c>
      <c r="B1276">
        <v>4</v>
      </c>
      <c r="C1276" t="s">
        <v>40</v>
      </c>
      <c r="D1276">
        <v>6.04</v>
      </c>
      <c r="E1276">
        <v>3.8E-3</v>
      </c>
      <c r="F1276">
        <v>400</v>
      </c>
      <c r="G1276">
        <v>150</v>
      </c>
      <c r="H1276" t="s">
        <v>22</v>
      </c>
      <c r="I1276">
        <v>318</v>
      </c>
      <c r="J1276">
        <v>1600</v>
      </c>
      <c r="K1276" t="s">
        <v>22</v>
      </c>
      <c r="L1276" t="s">
        <v>22</v>
      </c>
      <c r="M1276">
        <v>7</v>
      </c>
      <c r="N1276" t="s">
        <v>38</v>
      </c>
      <c r="O1276">
        <v>3.6</v>
      </c>
      <c r="P1276">
        <v>19</v>
      </c>
      <c r="Q1276">
        <v>30</v>
      </c>
      <c r="R1276">
        <v>7</v>
      </c>
      <c r="S1276">
        <v>0.8175</v>
      </c>
    </row>
    <row r="1277" spans="1:19" x14ac:dyDescent="0.25">
      <c r="A1277">
        <v>1038</v>
      </c>
      <c r="B1277">
        <v>4</v>
      </c>
      <c r="C1277" t="s">
        <v>40</v>
      </c>
      <c r="D1277">
        <v>6.04</v>
      </c>
      <c r="E1277">
        <v>3.8E-3</v>
      </c>
      <c r="F1277">
        <v>400</v>
      </c>
      <c r="G1277">
        <v>150</v>
      </c>
      <c r="H1277" t="s">
        <v>22</v>
      </c>
      <c r="I1277">
        <v>318</v>
      </c>
      <c r="J1277">
        <v>1600</v>
      </c>
      <c r="K1277" t="s">
        <v>22</v>
      </c>
      <c r="L1277" t="s">
        <v>22</v>
      </c>
      <c r="M1277">
        <v>7</v>
      </c>
      <c r="N1277" t="s">
        <v>38</v>
      </c>
      <c r="O1277">
        <v>3.6</v>
      </c>
      <c r="P1277">
        <v>19</v>
      </c>
      <c r="Q1277">
        <v>30</v>
      </c>
      <c r="R1277">
        <v>7</v>
      </c>
      <c r="S1277">
        <v>0.80879999999999996</v>
      </c>
    </row>
    <row r="1278" spans="1:19" x14ac:dyDescent="0.25">
      <c r="A1278">
        <v>1038</v>
      </c>
      <c r="B1278">
        <v>4</v>
      </c>
      <c r="C1278" t="s">
        <v>40</v>
      </c>
      <c r="D1278">
        <v>6.04</v>
      </c>
      <c r="E1278">
        <v>3.8E-3</v>
      </c>
      <c r="F1278">
        <v>400</v>
      </c>
      <c r="G1278">
        <v>150</v>
      </c>
      <c r="H1278" t="s">
        <v>22</v>
      </c>
      <c r="I1278">
        <v>318</v>
      </c>
      <c r="J1278">
        <v>1600</v>
      </c>
      <c r="K1278" t="s">
        <v>22</v>
      </c>
      <c r="L1278" t="s">
        <v>22</v>
      </c>
      <c r="M1278">
        <v>7</v>
      </c>
      <c r="N1278" t="s">
        <v>38</v>
      </c>
      <c r="O1278">
        <v>3.6</v>
      </c>
      <c r="P1278">
        <v>19</v>
      </c>
      <c r="Q1278">
        <v>30</v>
      </c>
      <c r="R1278">
        <v>7</v>
      </c>
      <c r="S1278">
        <v>0.79579999999999995</v>
      </c>
    </row>
    <row r="1279" spans="1:19" x14ac:dyDescent="0.25">
      <c r="A1279">
        <v>1038</v>
      </c>
      <c r="B1279">
        <v>4</v>
      </c>
      <c r="C1279" t="s">
        <v>40</v>
      </c>
      <c r="D1279">
        <v>6.04</v>
      </c>
      <c r="E1279">
        <v>3.8E-3</v>
      </c>
      <c r="F1279">
        <v>400</v>
      </c>
      <c r="G1279">
        <v>150</v>
      </c>
      <c r="H1279" t="s">
        <v>22</v>
      </c>
      <c r="I1279">
        <v>318</v>
      </c>
      <c r="J1279">
        <v>1600</v>
      </c>
      <c r="K1279" t="s">
        <v>22</v>
      </c>
      <c r="L1279" t="s">
        <v>22</v>
      </c>
      <c r="M1279">
        <v>7</v>
      </c>
      <c r="N1279" t="s">
        <v>38</v>
      </c>
      <c r="O1279">
        <v>3.6</v>
      </c>
      <c r="P1279">
        <v>19</v>
      </c>
      <c r="Q1279">
        <v>30</v>
      </c>
      <c r="R1279">
        <v>7</v>
      </c>
      <c r="S1279">
        <v>0.81420000000000003</v>
      </c>
    </row>
    <row r="1280" spans="1:19" x14ac:dyDescent="0.25">
      <c r="A1280">
        <v>1038</v>
      </c>
      <c r="B1280">
        <v>4</v>
      </c>
      <c r="C1280" t="s">
        <v>40</v>
      </c>
      <c r="D1280">
        <v>6.04</v>
      </c>
      <c r="E1280">
        <v>3.8E-3</v>
      </c>
      <c r="F1280">
        <v>400</v>
      </c>
      <c r="G1280">
        <v>150</v>
      </c>
      <c r="H1280" t="s">
        <v>22</v>
      </c>
      <c r="I1280">
        <v>318</v>
      </c>
      <c r="J1280">
        <v>1600</v>
      </c>
      <c r="K1280" t="s">
        <v>22</v>
      </c>
      <c r="L1280" t="s">
        <v>22</v>
      </c>
      <c r="M1280">
        <v>7</v>
      </c>
      <c r="N1280" t="s">
        <v>38</v>
      </c>
      <c r="O1280">
        <v>3.6</v>
      </c>
      <c r="P1280">
        <v>19</v>
      </c>
      <c r="Q1280">
        <v>30</v>
      </c>
      <c r="R1280">
        <v>7</v>
      </c>
      <c r="S1280">
        <v>0.82050000000000001</v>
      </c>
    </row>
    <row r="1281" spans="1:19" x14ac:dyDescent="0.25">
      <c r="A1281">
        <v>1038</v>
      </c>
      <c r="B1281">
        <v>4</v>
      </c>
      <c r="C1281" t="s">
        <v>40</v>
      </c>
      <c r="D1281">
        <v>6.04</v>
      </c>
      <c r="E1281">
        <v>3.8E-3</v>
      </c>
      <c r="F1281">
        <v>400</v>
      </c>
      <c r="G1281">
        <v>150</v>
      </c>
      <c r="H1281" t="s">
        <v>22</v>
      </c>
      <c r="I1281">
        <v>318</v>
      </c>
      <c r="J1281">
        <v>1600</v>
      </c>
      <c r="K1281" t="s">
        <v>22</v>
      </c>
      <c r="L1281" t="s">
        <v>22</v>
      </c>
      <c r="M1281">
        <v>7</v>
      </c>
      <c r="N1281" t="s">
        <v>38</v>
      </c>
      <c r="O1281">
        <v>3.6</v>
      </c>
      <c r="P1281">
        <v>19</v>
      </c>
      <c r="Q1281">
        <v>30</v>
      </c>
      <c r="R1281">
        <v>7</v>
      </c>
      <c r="S1281">
        <v>0.81479999999999997</v>
      </c>
    </row>
    <row r="1282" spans="1:19" x14ac:dyDescent="0.25">
      <c r="A1282">
        <v>1038</v>
      </c>
      <c r="B1282">
        <v>5</v>
      </c>
      <c r="C1282" t="s">
        <v>40</v>
      </c>
      <c r="D1282">
        <v>6.04</v>
      </c>
      <c r="E1282">
        <v>3.8E-3</v>
      </c>
      <c r="F1282">
        <v>400</v>
      </c>
      <c r="G1282">
        <v>150</v>
      </c>
      <c r="H1282" t="s">
        <v>22</v>
      </c>
      <c r="I1282">
        <v>318</v>
      </c>
      <c r="J1282">
        <v>1600</v>
      </c>
      <c r="K1282" t="s">
        <v>22</v>
      </c>
      <c r="L1282" t="s">
        <v>22</v>
      </c>
      <c r="M1282">
        <v>7</v>
      </c>
      <c r="N1282" t="s">
        <v>38</v>
      </c>
      <c r="O1282">
        <v>3.6</v>
      </c>
      <c r="P1282">
        <v>19</v>
      </c>
      <c r="Q1282">
        <v>30</v>
      </c>
      <c r="R1282">
        <v>7</v>
      </c>
      <c r="S1282">
        <v>1.4999999999999999E-2</v>
      </c>
    </row>
    <row r="1283" spans="1:19" x14ac:dyDescent="0.25">
      <c r="A1283">
        <v>1038</v>
      </c>
      <c r="B1283">
        <v>5</v>
      </c>
      <c r="C1283" t="s">
        <v>40</v>
      </c>
      <c r="D1283">
        <v>6.04</v>
      </c>
      <c r="E1283">
        <v>3.8E-3</v>
      </c>
      <c r="F1283">
        <v>400</v>
      </c>
      <c r="G1283">
        <v>150</v>
      </c>
      <c r="H1283" t="s">
        <v>22</v>
      </c>
      <c r="I1283">
        <v>318</v>
      </c>
      <c r="J1283">
        <v>1600</v>
      </c>
      <c r="K1283" t="s">
        <v>22</v>
      </c>
      <c r="L1283" t="s">
        <v>22</v>
      </c>
      <c r="M1283">
        <v>7</v>
      </c>
      <c r="N1283" t="s">
        <v>38</v>
      </c>
      <c r="O1283">
        <v>3.6</v>
      </c>
      <c r="P1283">
        <v>19</v>
      </c>
      <c r="Q1283">
        <v>30</v>
      </c>
      <c r="R1283">
        <v>7</v>
      </c>
      <c r="S1283">
        <v>0.44540000000000002</v>
      </c>
    </row>
    <row r="1284" spans="1:19" x14ac:dyDescent="0.25">
      <c r="A1284">
        <v>1038</v>
      </c>
      <c r="B1284">
        <v>5</v>
      </c>
      <c r="C1284" t="s">
        <v>40</v>
      </c>
      <c r="D1284">
        <v>6.04</v>
      </c>
      <c r="E1284">
        <v>3.8E-3</v>
      </c>
      <c r="F1284">
        <v>400</v>
      </c>
      <c r="G1284">
        <v>150</v>
      </c>
      <c r="H1284" t="s">
        <v>22</v>
      </c>
      <c r="I1284">
        <v>318</v>
      </c>
      <c r="J1284">
        <v>1600</v>
      </c>
      <c r="K1284" t="s">
        <v>22</v>
      </c>
      <c r="L1284" t="s">
        <v>22</v>
      </c>
      <c r="M1284">
        <v>7</v>
      </c>
      <c r="N1284" t="s">
        <v>38</v>
      </c>
      <c r="O1284">
        <v>3.6</v>
      </c>
      <c r="P1284">
        <v>19</v>
      </c>
      <c r="Q1284">
        <v>30</v>
      </c>
      <c r="R1284">
        <v>7</v>
      </c>
      <c r="S1284">
        <v>0.40589999999999998</v>
      </c>
    </row>
    <row r="1285" spans="1:19" x14ac:dyDescent="0.25">
      <c r="A1285">
        <v>1038</v>
      </c>
      <c r="B1285">
        <v>5</v>
      </c>
      <c r="C1285" t="s">
        <v>40</v>
      </c>
      <c r="D1285">
        <v>6.04</v>
      </c>
      <c r="E1285">
        <v>3.8E-3</v>
      </c>
      <c r="F1285">
        <v>400</v>
      </c>
      <c r="G1285">
        <v>150</v>
      </c>
      <c r="H1285" t="s">
        <v>22</v>
      </c>
      <c r="I1285">
        <v>318</v>
      </c>
      <c r="J1285">
        <v>1600</v>
      </c>
      <c r="K1285" t="s">
        <v>22</v>
      </c>
      <c r="L1285" t="s">
        <v>22</v>
      </c>
      <c r="M1285">
        <v>7</v>
      </c>
      <c r="N1285" t="s">
        <v>38</v>
      </c>
      <c r="O1285">
        <v>3.6</v>
      </c>
      <c r="P1285">
        <v>19</v>
      </c>
      <c r="Q1285">
        <v>30</v>
      </c>
      <c r="R1285">
        <v>7</v>
      </c>
      <c r="S1285">
        <v>0.47610000000000002</v>
      </c>
    </row>
    <row r="1286" spans="1:19" x14ac:dyDescent="0.25">
      <c r="A1286">
        <v>1038</v>
      </c>
      <c r="B1286">
        <v>6</v>
      </c>
      <c r="C1286" t="s">
        <v>40</v>
      </c>
      <c r="D1286">
        <v>6.04</v>
      </c>
      <c r="E1286">
        <v>3.8E-3</v>
      </c>
      <c r="F1286">
        <v>400</v>
      </c>
      <c r="G1286">
        <v>150</v>
      </c>
      <c r="H1286" t="s">
        <v>22</v>
      </c>
      <c r="I1286">
        <v>318</v>
      </c>
      <c r="J1286">
        <v>1600</v>
      </c>
      <c r="K1286" t="s">
        <v>22</v>
      </c>
      <c r="L1286" t="s">
        <v>22</v>
      </c>
      <c r="M1286">
        <v>7</v>
      </c>
      <c r="N1286" t="s">
        <v>38</v>
      </c>
      <c r="O1286">
        <v>3.6</v>
      </c>
      <c r="P1286">
        <v>19</v>
      </c>
      <c r="Q1286">
        <v>30</v>
      </c>
      <c r="R1286">
        <v>7</v>
      </c>
      <c r="S1286">
        <v>0.40010000000000001</v>
      </c>
    </row>
    <row r="1287" spans="1:19" x14ac:dyDescent="0.25">
      <c r="A1287">
        <v>1038</v>
      </c>
      <c r="B1287">
        <v>6</v>
      </c>
      <c r="C1287" t="s">
        <v>40</v>
      </c>
      <c r="D1287">
        <v>6.04</v>
      </c>
      <c r="E1287">
        <v>3.8E-3</v>
      </c>
      <c r="F1287">
        <v>400</v>
      </c>
      <c r="G1287">
        <v>150</v>
      </c>
      <c r="H1287" t="s">
        <v>22</v>
      </c>
      <c r="I1287">
        <v>318</v>
      </c>
      <c r="J1287">
        <v>1600</v>
      </c>
      <c r="K1287" t="s">
        <v>22</v>
      </c>
      <c r="L1287" t="s">
        <v>22</v>
      </c>
      <c r="M1287">
        <v>7</v>
      </c>
      <c r="N1287" t="s">
        <v>38</v>
      </c>
      <c r="O1287">
        <v>3.6</v>
      </c>
      <c r="P1287">
        <v>19</v>
      </c>
      <c r="Q1287">
        <v>30</v>
      </c>
      <c r="R1287">
        <v>7</v>
      </c>
      <c r="S1287">
        <v>0.42580000000000001</v>
      </c>
    </row>
    <row r="1288" spans="1:19" x14ac:dyDescent="0.25">
      <c r="A1288">
        <v>1038</v>
      </c>
      <c r="B1288">
        <v>6</v>
      </c>
      <c r="C1288" t="s">
        <v>40</v>
      </c>
      <c r="D1288">
        <v>6.04</v>
      </c>
      <c r="E1288">
        <v>3.8E-3</v>
      </c>
      <c r="F1288">
        <v>400</v>
      </c>
      <c r="G1288">
        <v>150</v>
      </c>
      <c r="H1288" t="s">
        <v>22</v>
      </c>
      <c r="I1288">
        <v>318</v>
      </c>
      <c r="J1288">
        <v>1600</v>
      </c>
      <c r="K1288" t="s">
        <v>22</v>
      </c>
      <c r="L1288" t="s">
        <v>22</v>
      </c>
      <c r="M1288">
        <v>7</v>
      </c>
      <c r="N1288" t="s">
        <v>38</v>
      </c>
      <c r="O1288">
        <v>3.6</v>
      </c>
      <c r="P1288">
        <v>19</v>
      </c>
      <c r="Q1288">
        <v>30</v>
      </c>
      <c r="R1288">
        <v>7</v>
      </c>
      <c r="S1288">
        <v>0.46</v>
      </c>
    </row>
    <row r="1289" spans="1:19" x14ac:dyDescent="0.25">
      <c r="A1289">
        <v>1038</v>
      </c>
      <c r="B1289">
        <v>6</v>
      </c>
      <c r="C1289" t="s">
        <v>40</v>
      </c>
      <c r="D1289">
        <v>6.04</v>
      </c>
      <c r="E1289">
        <v>3.8E-3</v>
      </c>
      <c r="F1289">
        <v>400</v>
      </c>
      <c r="G1289">
        <v>150</v>
      </c>
      <c r="H1289" t="s">
        <v>22</v>
      </c>
      <c r="I1289">
        <v>318</v>
      </c>
      <c r="J1289">
        <v>1600</v>
      </c>
      <c r="K1289" t="s">
        <v>22</v>
      </c>
      <c r="L1289" t="s">
        <v>22</v>
      </c>
      <c r="M1289">
        <v>7</v>
      </c>
      <c r="N1289" t="s">
        <v>38</v>
      </c>
      <c r="O1289">
        <v>3.6</v>
      </c>
      <c r="P1289">
        <v>19</v>
      </c>
      <c r="Q1289">
        <v>30</v>
      </c>
      <c r="R1289">
        <v>7</v>
      </c>
      <c r="S1289">
        <v>0.48370000000000002</v>
      </c>
    </row>
    <row r="1290" spans="1:19" x14ac:dyDescent="0.25">
      <c r="A1290">
        <v>1038</v>
      </c>
      <c r="B1290">
        <v>6</v>
      </c>
      <c r="C1290" t="s">
        <v>40</v>
      </c>
      <c r="D1290">
        <v>6.04</v>
      </c>
      <c r="E1290">
        <v>3.8E-3</v>
      </c>
      <c r="F1290">
        <v>400</v>
      </c>
      <c r="G1290">
        <v>150</v>
      </c>
      <c r="H1290" t="s">
        <v>22</v>
      </c>
      <c r="I1290">
        <v>318</v>
      </c>
      <c r="J1290">
        <v>1600</v>
      </c>
      <c r="K1290" t="s">
        <v>22</v>
      </c>
      <c r="L1290" t="s">
        <v>22</v>
      </c>
      <c r="M1290">
        <v>7</v>
      </c>
      <c r="N1290" t="s">
        <v>38</v>
      </c>
      <c r="O1290">
        <v>3.6</v>
      </c>
      <c r="P1290">
        <v>19</v>
      </c>
      <c r="Q1290">
        <v>30</v>
      </c>
      <c r="R1290">
        <v>7</v>
      </c>
      <c r="S1290">
        <v>0.4733</v>
      </c>
    </row>
    <row r="1291" spans="1:19" x14ac:dyDescent="0.25">
      <c r="A1291">
        <v>1038</v>
      </c>
      <c r="B1291">
        <v>6</v>
      </c>
      <c r="C1291" t="s">
        <v>40</v>
      </c>
      <c r="D1291">
        <v>6.04</v>
      </c>
      <c r="E1291">
        <v>3.8E-3</v>
      </c>
      <c r="F1291">
        <v>400</v>
      </c>
      <c r="G1291">
        <v>150</v>
      </c>
      <c r="H1291" t="s">
        <v>22</v>
      </c>
      <c r="I1291">
        <v>318</v>
      </c>
      <c r="J1291">
        <v>1600</v>
      </c>
      <c r="K1291" t="s">
        <v>22</v>
      </c>
      <c r="L1291" t="s">
        <v>22</v>
      </c>
      <c r="M1291">
        <v>7</v>
      </c>
      <c r="N1291" t="s">
        <v>38</v>
      </c>
      <c r="O1291">
        <v>3.6</v>
      </c>
      <c r="P1291">
        <v>19</v>
      </c>
      <c r="Q1291">
        <v>30</v>
      </c>
      <c r="R1291">
        <v>7</v>
      </c>
      <c r="S1291">
        <v>0.49070000000000003</v>
      </c>
    </row>
    <row r="1292" spans="1:19" x14ac:dyDescent="0.25">
      <c r="A1292">
        <v>1039</v>
      </c>
      <c r="B1292">
        <v>1</v>
      </c>
      <c r="C1292" t="s">
        <v>28</v>
      </c>
      <c r="D1292">
        <v>4.57</v>
      </c>
      <c r="E1292">
        <v>1.1000000000000001</v>
      </c>
      <c r="F1292">
        <v>340</v>
      </c>
      <c r="G1292">
        <v>101</v>
      </c>
      <c r="H1292" t="s">
        <v>22</v>
      </c>
      <c r="I1292">
        <v>0.81</v>
      </c>
      <c r="J1292">
        <v>5.2</v>
      </c>
      <c r="K1292" t="s">
        <v>22</v>
      </c>
      <c r="L1292">
        <v>21.89</v>
      </c>
      <c r="M1292">
        <v>7.2</v>
      </c>
      <c r="N1292" t="s">
        <v>29</v>
      </c>
      <c r="O1292">
        <v>20</v>
      </c>
      <c r="P1292">
        <v>204.47</v>
      </c>
      <c r="Q1292" t="s">
        <v>22</v>
      </c>
      <c r="R1292">
        <v>30</v>
      </c>
      <c r="S1292" t="e">
        <f>(P1292-#REF!)/P1292</f>
        <v>#REF!</v>
      </c>
    </row>
    <row r="1293" spans="1:19" x14ac:dyDescent="0.25">
      <c r="A1293">
        <v>1039</v>
      </c>
      <c r="B1293">
        <v>1</v>
      </c>
      <c r="C1293" t="s">
        <v>35</v>
      </c>
      <c r="D1293">
        <v>5.18</v>
      </c>
      <c r="E1293">
        <v>0.13200000000000001</v>
      </c>
      <c r="F1293">
        <v>393</v>
      </c>
      <c r="G1293">
        <v>150</v>
      </c>
      <c r="H1293" t="s">
        <v>22</v>
      </c>
      <c r="I1293">
        <v>0.81</v>
      </c>
      <c r="J1293">
        <v>5.2</v>
      </c>
      <c r="K1293" t="s">
        <v>22</v>
      </c>
      <c r="L1293">
        <v>21.89</v>
      </c>
      <c r="M1293">
        <v>7.2</v>
      </c>
      <c r="N1293" t="s">
        <v>32</v>
      </c>
      <c r="O1293">
        <v>20</v>
      </c>
      <c r="P1293">
        <v>103.02</v>
      </c>
      <c r="Q1293" t="s">
        <v>22</v>
      </c>
      <c r="R1293">
        <v>30</v>
      </c>
      <c r="S1293" t="e">
        <f>(P1293-#REF!)/P1293</f>
        <v>#REF!</v>
      </c>
    </row>
    <row r="1294" spans="1:19" x14ac:dyDescent="0.25">
      <c r="A1294">
        <v>1039</v>
      </c>
      <c r="B1294">
        <v>1</v>
      </c>
      <c r="C1294" t="s">
        <v>28</v>
      </c>
      <c r="D1294">
        <v>4.57</v>
      </c>
      <c r="E1294">
        <v>1.1000000000000001</v>
      </c>
      <c r="F1294">
        <v>340</v>
      </c>
      <c r="G1294">
        <v>101</v>
      </c>
      <c r="H1294" t="s">
        <v>22</v>
      </c>
      <c r="I1294">
        <v>0.81</v>
      </c>
      <c r="J1294">
        <v>5.2</v>
      </c>
      <c r="K1294" t="s">
        <v>22</v>
      </c>
      <c r="L1294">
        <v>21.89</v>
      </c>
      <c r="M1294">
        <v>7.2</v>
      </c>
      <c r="N1294" t="s">
        <v>29</v>
      </c>
      <c r="O1294">
        <v>20</v>
      </c>
      <c r="P1294">
        <v>204.47</v>
      </c>
      <c r="Q1294" t="s">
        <v>22</v>
      </c>
      <c r="R1294">
        <v>30</v>
      </c>
      <c r="S1294" t="e">
        <f>(P1294-#REF!)/P1294</f>
        <v>#REF!</v>
      </c>
    </row>
    <row r="1295" spans="1:19" x14ac:dyDescent="0.25">
      <c r="A1295">
        <v>1039</v>
      </c>
      <c r="B1295">
        <v>1</v>
      </c>
      <c r="C1295" t="s">
        <v>35</v>
      </c>
      <c r="D1295">
        <v>5.18</v>
      </c>
      <c r="E1295">
        <v>0.13200000000000001</v>
      </c>
      <c r="F1295">
        <v>393</v>
      </c>
      <c r="G1295">
        <v>150</v>
      </c>
      <c r="H1295" t="s">
        <v>22</v>
      </c>
      <c r="I1295">
        <v>0.81</v>
      </c>
      <c r="J1295">
        <v>5.2</v>
      </c>
      <c r="K1295" t="s">
        <v>22</v>
      </c>
      <c r="L1295">
        <v>21.89</v>
      </c>
      <c r="M1295">
        <v>7.2</v>
      </c>
      <c r="N1295" t="s">
        <v>32</v>
      </c>
      <c r="O1295">
        <v>20</v>
      </c>
      <c r="P1295">
        <v>103.02</v>
      </c>
      <c r="Q1295" t="s">
        <v>22</v>
      </c>
      <c r="R1295">
        <v>30</v>
      </c>
      <c r="S1295" t="e">
        <f>(P1295-#REF!)/P1295</f>
        <v>#REF!</v>
      </c>
    </row>
    <row r="1296" spans="1:19" x14ac:dyDescent="0.25">
      <c r="A1296">
        <v>1039</v>
      </c>
      <c r="B1296">
        <v>1</v>
      </c>
      <c r="C1296" t="s">
        <v>28</v>
      </c>
      <c r="D1296">
        <v>4.57</v>
      </c>
      <c r="E1296">
        <v>1.1000000000000001</v>
      </c>
      <c r="F1296">
        <v>340</v>
      </c>
      <c r="G1296">
        <v>101</v>
      </c>
      <c r="H1296" t="s">
        <v>22</v>
      </c>
      <c r="I1296">
        <v>0.81</v>
      </c>
      <c r="J1296">
        <v>5.2</v>
      </c>
      <c r="K1296" t="s">
        <v>22</v>
      </c>
      <c r="L1296">
        <v>21.89</v>
      </c>
      <c r="M1296">
        <v>7.2</v>
      </c>
      <c r="N1296" t="s">
        <v>29</v>
      </c>
      <c r="O1296">
        <v>20</v>
      </c>
      <c r="P1296">
        <v>204.47</v>
      </c>
      <c r="Q1296" t="s">
        <v>22</v>
      </c>
      <c r="R1296">
        <v>30</v>
      </c>
      <c r="S1296" t="e">
        <f>(P1296-#REF!)/P1296</f>
        <v>#REF!</v>
      </c>
    </row>
    <row r="1297" spans="1:19" x14ac:dyDescent="0.25">
      <c r="A1297">
        <v>1039</v>
      </c>
      <c r="B1297">
        <v>1</v>
      </c>
      <c r="C1297" t="s">
        <v>35</v>
      </c>
      <c r="D1297">
        <v>5.18</v>
      </c>
      <c r="E1297">
        <v>0.13200000000000001</v>
      </c>
      <c r="F1297">
        <v>393</v>
      </c>
      <c r="G1297">
        <v>150</v>
      </c>
      <c r="H1297" t="s">
        <v>22</v>
      </c>
      <c r="I1297">
        <v>0.81</v>
      </c>
      <c r="J1297">
        <v>5.2</v>
      </c>
      <c r="K1297" t="s">
        <v>22</v>
      </c>
      <c r="L1297">
        <v>21.89</v>
      </c>
      <c r="M1297">
        <v>7.2</v>
      </c>
      <c r="N1297" t="s">
        <v>32</v>
      </c>
      <c r="O1297">
        <v>20</v>
      </c>
      <c r="P1297">
        <v>103.02</v>
      </c>
      <c r="Q1297" t="s">
        <v>22</v>
      </c>
      <c r="R1297">
        <v>30</v>
      </c>
      <c r="S1297" t="e">
        <f>(P1297-#REF!)/P1297</f>
        <v>#REF!</v>
      </c>
    </row>
    <row r="1298" spans="1:19" x14ac:dyDescent="0.25">
      <c r="A1298">
        <v>1039</v>
      </c>
      <c r="B1298">
        <v>1</v>
      </c>
      <c r="C1298" t="s">
        <v>28</v>
      </c>
      <c r="D1298">
        <v>4.57</v>
      </c>
      <c r="E1298">
        <v>1.1000000000000001</v>
      </c>
      <c r="F1298">
        <v>340</v>
      </c>
      <c r="G1298">
        <v>101</v>
      </c>
      <c r="H1298" t="s">
        <v>22</v>
      </c>
      <c r="I1298">
        <v>0.81</v>
      </c>
      <c r="J1298">
        <v>5.2</v>
      </c>
      <c r="K1298" t="s">
        <v>22</v>
      </c>
      <c r="L1298">
        <v>21.89</v>
      </c>
      <c r="M1298">
        <v>7.2</v>
      </c>
      <c r="N1298" t="s">
        <v>29</v>
      </c>
      <c r="O1298">
        <v>20</v>
      </c>
      <c r="P1298">
        <v>204.47</v>
      </c>
      <c r="Q1298" t="s">
        <v>22</v>
      </c>
      <c r="R1298">
        <v>30</v>
      </c>
      <c r="S1298" t="e">
        <f>(P1298-#REF!)/P1298</f>
        <v>#REF!</v>
      </c>
    </row>
    <row r="1299" spans="1:19" x14ac:dyDescent="0.25">
      <c r="A1299">
        <v>1039</v>
      </c>
      <c r="B1299">
        <v>1</v>
      </c>
      <c r="C1299" t="s">
        <v>35</v>
      </c>
      <c r="D1299">
        <v>5.18</v>
      </c>
      <c r="E1299">
        <v>0.13200000000000001</v>
      </c>
      <c r="F1299">
        <v>393</v>
      </c>
      <c r="G1299">
        <v>150</v>
      </c>
      <c r="H1299" t="s">
        <v>22</v>
      </c>
      <c r="I1299">
        <v>0.81</v>
      </c>
      <c r="J1299">
        <v>5.2</v>
      </c>
      <c r="K1299" t="s">
        <v>22</v>
      </c>
      <c r="L1299">
        <v>21.89</v>
      </c>
      <c r="M1299">
        <v>7.2</v>
      </c>
      <c r="N1299" t="s">
        <v>32</v>
      </c>
      <c r="O1299">
        <v>20</v>
      </c>
      <c r="P1299">
        <v>103.02</v>
      </c>
      <c r="Q1299" t="s">
        <v>22</v>
      </c>
      <c r="R1299">
        <v>30</v>
      </c>
      <c r="S1299" t="e">
        <f>(P1299-#REF!)/P1299</f>
        <v>#REF!</v>
      </c>
    </row>
    <row r="1300" spans="1:19" x14ac:dyDescent="0.25">
      <c r="A1300">
        <v>1039</v>
      </c>
      <c r="B1300">
        <v>2</v>
      </c>
      <c r="C1300" t="s">
        <v>35</v>
      </c>
      <c r="D1300">
        <v>5.18</v>
      </c>
      <c r="E1300">
        <v>0.13200000000000001</v>
      </c>
      <c r="F1300">
        <v>393</v>
      </c>
      <c r="G1300">
        <v>150</v>
      </c>
      <c r="H1300" t="s">
        <v>22</v>
      </c>
      <c r="I1300">
        <v>0.81</v>
      </c>
      <c r="J1300">
        <v>5.2</v>
      </c>
      <c r="K1300" t="s">
        <v>22</v>
      </c>
      <c r="L1300">
        <v>21.89</v>
      </c>
      <c r="M1300">
        <v>7.2</v>
      </c>
      <c r="N1300" t="s">
        <v>32</v>
      </c>
      <c r="O1300">
        <v>20</v>
      </c>
      <c r="P1300">
        <v>103.02</v>
      </c>
      <c r="Q1300" t="s">
        <v>22</v>
      </c>
      <c r="R1300" t="s">
        <v>22</v>
      </c>
      <c r="S1300">
        <v>0.32369999999999999</v>
      </c>
    </row>
    <row r="1301" spans="1:19" x14ac:dyDescent="0.25">
      <c r="A1301">
        <v>1039</v>
      </c>
      <c r="B1301">
        <v>2</v>
      </c>
      <c r="C1301" t="s">
        <v>35</v>
      </c>
      <c r="D1301">
        <v>5.18</v>
      </c>
      <c r="E1301">
        <v>0.13200000000000001</v>
      </c>
      <c r="F1301">
        <v>393</v>
      </c>
      <c r="G1301">
        <v>150</v>
      </c>
      <c r="H1301" t="s">
        <v>22</v>
      </c>
      <c r="I1301">
        <v>0.81</v>
      </c>
      <c r="J1301">
        <v>5.2</v>
      </c>
      <c r="K1301" t="s">
        <v>22</v>
      </c>
      <c r="L1301">
        <v>21.89</v>
      </c>
      <c r="M1301">
        <v>7.2</v>
      </c>
      <c r="N1301" t="s">
        <v>32</v>
      </c>
      <c r="O1301">
        <v>20</v>
      </c>
      <c r="P1301">
        <v>103.02</v>
      </c>
      <c r="Q1301" t="s">
        <v>22</v>
      </c>
      <c r="R1301" t="s">
        <v>22</v>
      </c>
      <c r="S1301">
        <v>0.3569</v>
      </c>
    </row>
    <row r="1302" spans="1:19" x14ac:dyDescent="0.25">
      <c r="A1302">
        <v>1039</v>
      </c>
      <c r="B1302">
        <v>2</v>
      </c>
      <c r="C1302" t="s">
        <v>35</v>
      </c>
      <c r="D1302">
        <v>5.18</v>
      </c>
      <c r="E1302">
        <v>0.13200000000000001</v>
      </c>
      <c r="F1302">
        <v>393</v>
      </c>
      <c r="G1302">
        <v>150</v>
      </c>
      <c r="H1302" t="s">
        <v>22</v>
      </c>
      <c r="I1302">
        <v>0.81</v>
      </c>
      <c r="J1302">
        <v>5.2</v>
      </c>
      <c r="K1302" t="s">
        <v>22</v>
      </c>
      <c r="L1302">
        <v>21.89</v>
      </c>
      <c r="M1302">
        <v>7.2</v>
      </c>
      <c r="N1302" t="s">
        <v>32</v>
      </c>
      <c r="O1302">
        <v>20</v>
      </c>
      <c r="P1302">
        <v>103.02</v>
      </c>
      <c r="Q1302" t="s">
        <v>22</v>
      </c>
      <c r="R1302" t="s">
        <v>22</v>
      </c>
      <c r="S1302">
        <v>0.28589999999999999</v>
      </c>
    </row>
    <row r="1303" spans="1:19" x14ac:dyDescent="0.25">
      <c r="A1303">
        <v>1039</v>
      </c>
      <c r="B1303">
        <v>2</v>
      </c>
      <c r="C1303" t="s">
        <v>35</v>
      </c>
      <c r="D1303">
        <v>5.18</v>
      </c>
      <c r="E1303">
        <v>0.13200000000000001</v>
      </c>
      <c r="F1303">
        <v>393</v>
      </c>
      <c r="G1303">
        <v>150</v>
      </c>
      <c r="H1303" t="s">
        <v>22</v>
      </c>
      <c r="I1303">
        <v>0.81</v>
      </c>
      <c r="J1303">
        <v>5.2</v>
      </c>
      <c r="K1303" t="s">
        <v>22</v>
      </c>
      <c r="L1303">
        <v>21.89</v>
      </c>
      <c r="M1303">
        <v>7.2</v>
      </c>
      <c r="N1303" t="s">
        <v>32</v>
      </c>
      <c r="O1303">
        <v>20</v>
      </c>
      <c r="P1303">
        <v>103.02</v>
      </c>
      <c r="Q1303" t="s">
        <v>22</v>
      </c>
      <c r="R1303" t="s">
        <v>22</v>
      </c>
      <c r="S1303">
        <v>0.18360000000000001</v>
      </c>
    </row>
    <row r="1304" spans="1:19" x14ac:dyDescent="0.25">
      <c r="A1304">
        <v>1039</v>
      </c>
      <c r="B1304">
        <v>2</v>
      </c>
      <c r="C1304" t="s">
        <v>35</v>
      </c>
      <c r="D1304">
        <v>5.18</v>
      </c>
      <c r="E1304">
        <v>0.13200000000000001</v>
      </c>
      <c r="F1304">
        <v>393</v>
      </c>
      <c r="G1304">
        <v>150</v>
      </c>
      <c r="H1304" t="s">
        <v>22</v>
      </c>
      <c r="I1304">
        <v>0.81</v>
      </c>
      <c r="J1304">
        <v>5.2</v>
      </c>
      <c r="K1304" t="s">
        <v>22</v>
      </c>
      <c r="L1304">
        <v>21.89</v>
      </c>
      <c r="M1304">
        <v>7.2</v>
      </c>
      <c r="N1304" t="s">
        <v>32</v>
      </c>
      <c r="O1304">
        <v>20</v>
      </c>
      <c r="P1304">
        <v>103.02</v>
      </c>
      <c r="Q1304" t="s">
        <v>22</v>
      </c>
      <c r="R1304" t="s">
        <v>22</v>
      </c>
      <c r="S1304">
        <v>9.0499999999999997E-2</v>
      </c>
    </row>
    <row r="1305" spans="1:19" x14ac:dyDescent="0.25">
      <c r="A1305">
        <v>1039</v>
      </c>
      <c r="B1305">
        <v>3</v>
      </c>
      <c r="C1305" t="s">
        <v>35</v>
      </c>
      <c r="D1305">
        <v>5.18</v>
      </c>
      <c r="E1305">
        <v>0.13200000000000001</v>
      </c>
      <c r="F1305">
        <v>393</v>
      </c>
      <c r="G1305">
        <v>150</v>
      </c>
      <c r="H1305" t="s">
        <v>22</v>
      </c>
      <c r="I1305">
        <v>0.81</v>
      </c>
      <c r="J1305">
        <v>5.2</v>
      </c>
      <c r="K1305" t="s">
        <v>22</v>
      </c>
      <c r="L1305">
        <v>21.89</v>
      </c>
      <c r="M1305">
        <v>7.2</v>
      </c>
      <c r="N1305" t="s">
        <v>32</v>
      </c>
      <c r="O1305">
        <v>20</v>
      </c>
      <c r="P1305">
        <v>103.02</v>
      </c>
      <c r="Q1305" t="s">
        <v>22</v>
      </c>
      <c r="R1305" t="s">
        <v>22</v>
      </c>
      <c r="S1305">
        <v>0.25309999999999999</v>
      </c>
    </row>
    <row r="1306" spans="1:19" x14ac:dyDescent="0.25">
      <c r="A1306">
        <v>1039</v>
      </c>
      <c r="B1306">
        <v>3</v>
      </c>
      <c r="C1306" t="s">
        <v>35</v>
      </c>
      <c r="D1306">
        <v>5.18</v>
      </c>
      <c r="E1306">
        <v>0.13200000000000001</v>
      </c>
      <c r="F1306">
        <v>393</v>
      </c>
      <c r="G1306">
        <v>150</v>
      </c>
      <c r="H1306" t="s">
        <v>22</v>
      </c>
      <c r="I1306">
        <v>0.81</v>
      </c>
      <c r="J1306">
        <v>5.2</v>
      </c>
      <c r="K1306" t="s">
        <v>22</v>
      </c>
      <c r="L1306">
        <v>21.89</v>
      </c>
      <c r="M1306">
        <v>7.2</v>
      </c>
      <c r="N1306" t="s">
        <v>32</v>
      </c>
      <c r="O1306">
        <v>20</v>
      </c>
      <c r="P1306">
        <v>103.02</v>
      </c>
      <c r="Q1306" t="s">
        <v>22</v>
      </c>
      <c r="R1306" t="s">
        <v>22</v>
      </c>
      <c r="S1306">
        <v>0.35610000000000003</v>
      </c>
    </row>
    <row r="1307" spans="1:19" x14ac:dyDescent="0.25">
      <c r="A1307">
        <v>1039</v>
      </c>
      <c r="B1307">
        <v>3</v>
      </c>
      <c r="C1307" t="s">
        <v>35</v>
      </c>
      <c r="D1307">
        <v>5.18</v>
      </c>
      <c r="E1307">
        <v>0.13200000000000001</v>
      </c>
      <c r="F1307">
        <v>393</v>
      </c>
      <c r="G1307">
        <v>150</v>
      </c>
      <c r="H1307" t="s">
        <v>22</v>
      </c>
      <c r="I1307">
        <v>0.81</v>
      </c>
      <c r="J1307">
        <v>5.2</v>
      </c>
      <c r="K1307" t="s">
        <v>22</v>
      </c>
      <c r="L1307">
        <v>21.89</v>
      </c>
      <c r="M1307">
        <v>7.2</v>
      </c>
      <c r="N1307" t="s">
        <v>32</v>
      </c>
      <c r="O1307">
        <v>20</v>
      </c>
      <c r="P1307">
        <v>103.02</v>
      </c>
      <c r="Q1307" t="s">
        <v>22</v>
      </c>
      <c r="R1307" t="s">
        <v>22</v>
      </c>
      <c r="S1307">
        <v>0.33750000000000002</v>
      </c>
    </row>
    <row r="1308" spans="1:19" x14ac:dyDescent="0.25">
      <c r="A1308">
        <v>1039</v>
      </c>
      <c r="B1308">
        <v>3</v>
      </c>
      <c r="C1308" t="s">
        <v>35</v>
      </c>
      <c r="D1308">
        <v>5.18</v>
      </c>
      <c r="E1308">
        <v>0.13200000000000001</v>
      </c>
      <c r="F1308">
        <v>393</v>
      </c>
      <c r="G1308">
        <v>150</v>
      </c>
      <c r="H1308" t="s">
        <v>22</v>
      </c>
      <c r="I1308">
        <v>0.81</v>
      </c>
      <c r="J1308">
        <v>5.2</v>
      </c>
      <c r="K1308" t="s">
        <v>22</v>
      </c>
      <c r="L1308">
        <v>21.89</v>
      </c>
      <c r="M1308">
        <v>7.2</v>
      </c>
      <c r="N1308" t="s">
        <v>32</v>
      </c>
      <c r="O1308">
        <v>20</v>
      </c>
      <c r="P1308">
        <v>103.02</v>
      </c>
      <c r="Q1308" t="s">
        <v>22</v>
      </c>
      <c r="R1308" t="s">
        <v>22</v>
      </c>
      <c r="S1308">
        <v>0.33150000000000002</v>
      </c>
    </row>
    <row r="1309" spans="1:19" x14ac:dyDescent="0.25">
      <c r="A1309">
        <v>1039</v>
      </c>
      <c r="B1309">
        <v>4</v>
      </c>
      <c r="C1309" t="s">
        <v>35</v>
      </c>
      <c r="D1309">
        <v>5.18</v>
      </c>
      <c r="E1309">
        <v>0.13200000000000001</v>
      </c>
      <c r="F1309">
        <v>393</v>
      </c>
      <c r="G1309">
        <v>150</v>
      </c>
      <c r="H1309" t="s">
        <v>22</v>
      </c>
      <c r="I1309">
        <v>0.81</v>
      </c>
      <c r="J1309">
        <v>5.2</v>
      </c>
      <c r="K1309" t="s">
        <v>22</v>
      </c>
      <c r="L1309">
        <v>21.89</v>
      </c>
      <c r="M1309">
        <v>7.2</v>
      </c>
      <c r="N1309" t="s">
        <v>32</v>
      </c>
      <c r="O1309">
        <v>10</v>
      </c>
      <c r="P1309">
        <v>103.02</v>
      </c>
      <c r="Q1309" t="s">
        <v>22</v>
      </c>
      <c r="R1309" t="s">
        <v>22</v>
      </c>
      <c r="S1309">
        <v>0.29680000000000001</v>
      </c>
    </row>
    <row r="1310" spans="1:19" x14ac:dyDescent="0.25">
      <c r="A1310">
        <v>1039</v>
      </c>
      <c r="B1310">
        <v>4</v>
      </c>
      <c r="C1310" t="s">
        <v>35</v>
      </c>
      <c r="D1310">
        <v>5.18</v>
      </c>
      <c r="E1310">
        <v>0.13200000000000001</v>
      </c>
      <c r="F1310">
        <v>393</v>
      </c>
      <c r="G1310">
        <v>150</v>
      </c>
      <c r="H1310" t="s">
        <v>22</v>
      </c>
      <c r="I1310">
        <v>0.81</v>
      </c>
      <c r="J1310">
        <v>5.2</v>
      </c>
      <c r="K1310" t="s">
        <v>22</v>
      </c>
      <c r="L1310">
        <v>21.89</v>
      </c>
      <c r="M1310">
        <v>7.2</v>
      </c>
      <c r="N1310" t="s">
        <v>32</v>
      </c>
      <c r="O1310">
        <v>15</v>
      </c>
      <c r="P1310">
        <v>103.02</v>
      </c>
      <c r="Q1310" t="s">
        <v>22</v>
      </c>
      <c r="R1310" t="s">
        <v>22</v>
      </c>
      <c r="S1310">
        <v>0.31840000000000002</v>
      </c>
    </row>
    <row r="1311" spans="1:19" x14ac:dyDescent="0.25">
      <c r="A1311">
        <v>1039</v>
      </c>
      <c r="B1311">
        <v>4</v>
      </c>
      <c r="C1311" t="s">
        <v>35</v>
      </c>
      <c r="D1311">
        <v>5.18</v>
      </c>
      <c r="E1311">
        <v>0.13200000000000001</v>
      </c>
      <c r="F1311">
        <v>393</v>
      </c>
      <c r="G1311">
        <v>150</v>
      </c>
      <c r="H1311" t="s">
        <v>22</v>
      </c>
      <c r="I1311">
        <v>0.81</v>
      </c>
      <c r="J1311">
        <v>5.2</v>
      </c>
      <c r="K1311" t="s">
        <v>22</v>
      </c>
      <c r="L1311">
        <v>21.89</v>
      </c>
      <c r="M1311">
        <v>7.2</v>
      </c>
      <c r="N1311" t="s">
        <v>32</v>
      </c>
      <c r="O1311">
        <v>20</v>
      </c>
      <c r="P1311">
        <v>103.02</v>
      </c>
      <c r="Q1311" t="s">
        <v>22</v>
      </c>
      <c r="R1311" t="s">
        <v>22</v>
      </c>
      <c r="S1311">
        <v>0.35930000000000001</v>
      </c>
    </row>
    <row r="1312" spans="1:19" x14ac:dyDescent="0.25">
      <c r="A1312">
        <v>1039</v>
      </c>
      <c r="B1312">
        <v>4</v>
      </c>
      <c r="C1312" t="s">
        <v>35</v>
      </c>
      <c r="D1312">
        <v>5.18</v>
      </c>
      <c r="E1312">
        <v>0.13200000000000001</v>
      </c>
      <c r="F1312">
        <v>393</v>
      </c>
      <c r="G1312">
        <v>150</v>
      </c>
      <c r="H1312" t="s">
        <v>22</v>
      </c>
      <c r="I1312">
        <v>0.81</v>
      </c>
      <c r="J1312">
        <v>5.2</v>
      </c>
      <c r="K1312" t="s">
        <v>22</v>
      </c>
      <c r="L1312">
        <v>21.89</v>
      </c>
      <c r="M1312">
        <v>7.2</v>
      </c>
      <c r="N1312" t="s">
        <v>32</v>
      </c>
      <c r="O1312">
        <v>25</v>
      </c>
      <c r="P1312">
        <v>103.02</v>
      </c>
      <c r="Q1312" t="s">
        <v>22</v>
      </c>
      <c r="R1312" t="s">
        <v>22</v>
      </c>
      <c r="S1312">
        <v>0.33429999999999999</v>
      </c>
    </row>
    <row r="1313" spans="1:19" x14ac:dyDescent="0.25">
      <c r="A1313">
        <v>1039</v>
      </c>
      <c r="B1313">
        <v>4</v>
      </c>
      <c r="C1313" t="s">
        <v>35</v>
      </c>
      <c r="D1313">
        <v>5.18</v>
      </c>
      <c r="E1313">
        <v>0.13200000000000001</v>
      </c>
      <c r="F1313">
        <v>393</v>
      </c>
      <c r="G1313">
        <v>150</v>
      </c>
      <c r="H1313" t="s">
        <v>22</v>
      </c>
      <c r="I1313">
        <v>0.81</v>
      </c>
      <c r="J1313">
        <v>5.2</v>
      </c>
      <c r="K1313" t="s">
        <v>22</v>
      </c>
      <c r="L1313">
        <v>21.89</v>
      </c>
      <c r="M1313">
        <v>7.2</v>
      </c>
      <c r="N1313" t="s">
        <v>32</v>
      </c>
      <c r="O1313">
        <v>30</v>
      </c>
      <c r="P1313">
        <v>103.02</v>
      </c>
      <c r="Q1313" t="s">
        <v>22</v>
      </c>
      <c r="R1313" t="s">
        <v>22</v>
      </c>
      <c r="S1313">
        <v>0.30869999999999997</v>
      </c>
    </row>
    <row r="1314" spans="1:19" x14ac:dyDescent="0.25">
      <c r="A1314">
        <v>1039</v>
      </c>
      <c r="B1314">
        <v>5</v>
      </c>
      <c r="C1314" t="s">
        <v>28</v>
      </c>
      <c r="D1314">
        <v>4.57</v>
      </c>
      <c r="E1314">
        <v>1.1000000000000001</v>
      </c>
      <c r="F1314">
        <v>340</v>
      </c>
      <c r="G1314">
        <v>101</v>
      </c>
      <c r="H1314" t="s">
        <v>22</v>
      </c>
      <c r="I1314">
        <v>0.82</v>
      </c>
      <c r="J1314">
        <v>5.2</v>
      </c>
      <c r="K1314" t="s">
        <v>22</v>
      </c>
      <c r="L1314">
        <v>22.48</v>
      </c>
      <c r="M1314">
        <v>7.2</v>
      </c>
      <c r="N1314" t="s">
        <v>29</v>
      </c>
      <c r="O1314">
        <v>20.69</v>
      </c>
      <c r="P1314">
        <v>204.47</v>
      </c>
      <c r="Q1314" t="s">
        <v>22</v>
      </c>
      <c r="R1314">
        <v>175.03</v>
      </c>
      <c r="S1314">
        <v>0.1234</v>
      </c>
    </row>
    <row r="1315" spans="1:19" x14ac:dyDescent="0.25">
      <c r="A1315">
        <v>1039</v>
      </c>
      <c r="B1315">
        <v>5</v>
      </c>
      <c r="C1315" t="s">
        <v>35</v>
      </c>
      <c r="D1315">
        <v>5.18</v>
      </c>
      <c r="E1315">
        <v>0.13200000000000001</v>
      </c>
      <c r="F1315">
        <v>393</v>
      </c>
      <c r="G1315">
        <v>150</v>
      </c>
      <c r="H1315" t="s">
        <v>22</v>
      </c>
      <c r="I1315">
        <v>0.82</v>
      </c>
      <c r="J1315">
        <v>5.2</v>
      </c>
      <c r="K1315" t="s">
        <v>22</v>
      </c>
      <c r="L1315">
        <v>22.48</v>
      </c>
      <c r="M1315">
        <v>7.2</v>
      </c>
      <c r="N1315" t="s">
        <v>32</v>
      </c>
      <c r="O1315">
        <v>20.69</v>
      </c>
      <c r="P1315">
        <v>103.02</v>
      </c>
      <c r="Q1315" t="s">
        <v>22</v>
      </c>
      <c r="R1315">
        <v>92.48</v>
      </c>
      <c r="S1315">
        <v>7.3800000000000004E-2</v>
      </c>
    </row>
    <row r="1316" spans="1:19" x14ac:dyDescent="0.25">
      <c r="A1316">
        <v>1039</v>
      </c>
      <c r="B1316">
        <v>5</v>
      </c>
      <c r="C1316" t="s">
        <v>28</v>
      </c>
      <c r="D1316">
        <v>4.57</v>
      </c>
      <c r="E1316">
        <v>1.1000000000000001</v>
      </c>
      <c r="F1316">
        <v>340</v>
      </c>
      <c r="G1316">
        <v>101</v>
      </c>
      <c r="H1316" t="s">
        <v>22</v>
      </c>
      <c r="I1316">
        <v>0.83</v>
      </c>
      <c r="J1316">
        <v>5.6</v>
      </c>
      <c r="K1316" t="s">
        <v>22</v>
      </c>
      <c r="L1316">
        <v>14.28</v>
      </c>
      <c r="M1316">
        <v>7.2</v>
      </c>
      <c r="N1316" t="s">
        <v>29</v>
      </c>
      <c r="O1316">
        <v>20.69</v>
      </c>
      <c r="P1316">
        <v>204.47</v>
      </c>
      <c r="Q1316" t="s">
        <v>22</v>
      </c>
      <c r="R1316">
        <v>35.840000000000003</v>
      </c>
      <c r="S1316">
        <v>0.82110000000000005</v>
      </c>
    </row>
    <row r="1317" spans="1:19" x14ac:dyDescent="0.25">
      <c r="A1317">
        <v>1039</v>
      </c>
      <c r="B1317">
        <v>5</v>
      </c>
      <c r="C1317" t="s">
        <v>35</v>
      </c>
      <c r="D1317">
        <v>5.18</v>
      </c>
      <c r="E1317">
        <v>0.13200000000000001</v>
      </c>
      <c r="F1317">
        <v>393</v>
      </c>
      <c r="G1317">
        <v>150</v>
      </c>
      <c r="H1317" t="s">
        <v>22</v>
      </c>
      <c r="I1317">
        <v>0.83</v>
      </c>
      <c r="J1317">
        <v>5.6</v>
      </c>
      <c r="K1317" t="s">
        <v>22</v>
      </c>
      <c r="L1317">
        <v>14.28</v>
      </c>
      <c r="M1317">
        <v>7.2</v>
      </c>
      <c r="N1317" t="s">
        <v>32</v>
      </c>
      <c r="O1317">
        <v>20.69</v>
      </c>
      <c r="P1317">
        <v>103.02</v>
      </c>
      <c r="Q1317" t="s">
        <v>22</v>
      </c>
      <c r="R1317">
        <v>75.05</v>
      </c>
      <c r="S1317">
        <v>0.24970000000000001</v>
      </c>
    </row>
    <row r="1318" spans="1:19" x14ac:dyDescent="0.25">
      <c r="A1318">
        <v>1039</v>
      </c>
      <c r="B1318">
        <v>5</v>
      </c>
      <c r="C1318" t="s">
        <v>28</v>
      </c>
      <c r="D1318">
        <v>4.57</v>
      </c>
      <c r="E1318">
        <v>1.1000000000000001</v>
      </c>
      <c r="F1318">
        <v>340</v>
      </c>
      <c r="G1318">
        <v>101</v>
      </c>
      <c r="H1318" t="s">
        <v>22</v>
      </c>
      <c r="I1318">
        <v>0.65</v>
      </c>
      <c r="J1318">
        <v>5.6</v>
      </c>
      <c r="K1318" t="s">
        <v>22</v>
      </c>
      <c r="L1318">
        <v>13.06</v>
      </c>
      <c r="M1318">
        <v>7.2</v>
      </c>
      <c r="N1318" t="s">
        <v>29</v>
      </c>
      <c r="O1318">
        <v>20.69</v>
      </c>
      <c r="P1318">
        <v>204.47</v>
      </c>
      <c r="Q1318" t="s">
        <v>22</v>
      </c>
      <c r="R1318">
        <v>33.67</v>
      </c>
      <c r="S1318">
        <v>0.83179999999999998</v>
      </c>
    </row>
    <row r="1319" spans="1:19" x14ac:dyDescent="0.25">
      <c r="A1319">
        <v>1039</v>
      </c>
      <c r="B1319">
        <v>5</v>
      </c>
      <c r="C1319" t="s">
        <v>35</v>
      </c>
      <c r="D1319">
        <v>5.18</v>
      </c>
      <c r="E1319">
        <v>0.13200000000000001</v>
      </c>
      <c r="F1319">
        <v>393</v>
      </c>
      <c r="G1319">
        <v>150</v>
      </c>
      <c r="H1319" t="s">
        <v>22</v>
      </c>
      <c r="I1319">
        <v>0.65</v>
      </c>
      <c r="J1319">
        <v>5.2</v>
      </c>
      <c r="K1319" t="s">
        <v>22</v>
      </c>
      <c r="L1319">
        <v>13.06</v>
      </c>
      <c r="M1319">
        <v>7.2</v>
      </c>
      <c r="N1319" t="s">
        <v>32</v>
      </c>
      <c r="O1319">
        <v>20.69</v>
      </c>
      <c r="P1319">
        <v>103.02</v>
      </c>
      <c r="Q1319" t="s">
        <v>22</v>
      </c>
      <c r="R1319">
        <v>52.67</v>
      </c>
      <c r="S1319">
        <v>0.47420000000000001</v>
      </c>
    </row>
    <row r="1320" spans="1:19" x14ac:dyDescent="0.25">
      <c r="A1320">
        <v>1039</v>
      </c>
      <c r="B1320">
        <v>5</v>
      </c>
      <c r="C1320" t="s">
        <v>28</v>
      </c>
      <c r="D1320">
        <v>4.57</v>
      </c>
      <c r="E1320">
        <v>1.1000000000000001</v>
      </c>
      <c r="F1320">
        <v>340</v>
      </c>
      <c r="G1320">
        <v>101</v>
      </c>
      <c r="H1320" t="s">
        <v>22</v>
      </c>
      <c r="I1320">
        <v>0.79</v>
      </c>
      <c r="J1320">
        <v>4.3499999999999996</v>
      </c>
      <c r="K1320" t="s">
        <v>22</v>
      </c>
      <c r="L1320">
        <v>71.94</v>
      </c>
      <c r="M1320">
        <v>7.2</v>
      </c>
      <c r="N1320" t="s">
        <v>29</v>
      </c>
      <c r="O1320">
        <v>20.69</v>
      </c>
      <c r="P1320">
        <v>204.47</v>
      </c>
      <c r="Q1320" t="s">
        <v>22</v>
      </c>
      <c r="R1320">
        <v>33.409999999999997</v>
      </c>
      <c r="S1320">
        <v>0.83279999999999998</v>
      </c>
    </row>
    <row r="1321" spans="1:19" x14ac:dyDescent="0.25">
      <c r="A1321">
        <v>1039</v>
      </c>
      <c r="B1321">
        <v>5</v>
      </c>
      <c r="C1321" t="s">
        <v>35</v>
      </c>
      <c r="D1321">
        <v>5.18</v>
      </c>
      <c r="E1321">
        <v>0.13200000000000001</v>
      </c>
      <c r="F1321">
        <v>393</v>
      </c>
      <c r="G1321">
        <v>150</v>
      </c>
      <c r="H1321" t="s">
        <v>22</v>
      </c>
      <c r="I1321">
        <v>0.79</v>
      </c>
      <c r="J1321">
        <v>4.3499999999999996</v>
      </c>
      <c r="K1321" t="s">
        <v>22</v>
      </c>
      <c r="L1321">
        <v>71.94</v>
      </c>
      <c r="M1321">
        <v>7.2</v>
      </c>
      <c r="N1321" t="s">
        <v>32</v>
      </c>
      <c r="O1321">
        <v>20.69</v>
      </c>
      <c r="P1321">
        <v>103.02</v>
      </c>
      <c r="Q1321" t="s">
        <v>22</v>
      </c>
      <c r="R1321">
        <v>58.11</v>
      </c>
      <c r="S1321">
        <v>0.41489999999999999</v>
      </c>
    </row>
    <row r="1322" spans="1:19" x14ac:dyDescent="0.25">
      <c r="A1322">
        <v>1039</v>
      </c>
      <c r="B1322">
        <v>5</v>
      </c>
      <c r="C1322" t="s">
        <v>28</v>
      </c>
      <c r="D1322">
        <v>4.57</v>
      </c>
      <c r="E1322">
        <v>1.1000000000000001</v>
      </c>
      <c r="F1322">
        <v>340</v>
      </c>
      <c r="G1322">
        <v>101</v>
      </c>
      <c r="H1322" t="s">
        <v>22</v>
      </c>
      <c r="I1322">
        <v>0.8</v>
      </c>
      <c r="J1322">
        <v>4.24</v>
      </c>
      <c r="K1322" t="s">
        <v>22</v>
      </c>
      <c r="L1322">
        <v>70.36</v>
      </c>
      <c r="M1322">
        <v>7.2</v>
      </c>
      <c r="N1322" t="s">
        <v>29</v>
      </c>
      <c r="O1322">
        <v>20.69</v>
      </c>
      <c r="P1322">
        <v>204.47</v>
      </c>
      <c r="Q1322" t="s">
        <v>22</v>
      </c>
      <c r="R1322">
        <v>18.48</v>
      </c>
      <c r="S1322">
        <v>0.90759999999999996</v>
      </c>
    </row>
    <row r="1323" spans="1:19" x14ac:dyDescent="0.25">
      <c r="A1323">
        <v>1039</v>
      </c>
      <c r="B1323">
        <v>5</v>
      </c>
      <c r="C1323" t="s">
        <v>35</v>
      </c>
      <c r="D1323">
        <v>5.18</v>
      </c>
      <c r="E1323">
        <v>0.13200000000000001</v>
      </c>
      <c r="F1323">
        <v>393</v>
      </c>
      <c r="G1323">
        <v>150</v>
      </c>
      <c r="H1323" t="s">
        <v>22</v>
      </c>
      <c r="I1323">
        <v>0.8</v>
      </c>
      <c r="J1323">
        <v>4.24</v>
      </c>
      <c r="K1323" t="s">
        <v>22</v>
      </c>
      <c r="L1323">
        <v>70.36</v>
      </c>
      <c r="M1323">
        <v>7.2</v>
      </c>
      <c r="N1323" t="s">
        <v>32</v>
      </c>
      <c r="O1323">
        <v>20.69</v>
      </c>
      <c r="P1323">
        <v>103.02</v>
      </c>
      <c r="Q1323" t="s">
        <v>22</v>
      </c>
      <c r="R1323">
        <v>45.21</v>
      </c>
      <c r="S1323">
        <v>0.54610000000000003</v>
      </c>
    </row>
    <row r="1324" spans="1:19" x14ac:dyDescent="0.25">
      <c r="A1324">
        <v>1039</v>
      </c>
      <c r="B1324">
        <v>5</v>
      </c>
      <c r="C1324" t="s">
        <v>28</v>
      </c>
      <c r="D1324">
        <v>4.57</v>
      </c>
      <c r="E1324">
        <v>1.1000000000000001</v>
      </c>
      <c r="F1324">
        <v>340</v>
      </c>
      <c r="G1324">
        <v>101</v>
      </c>
      <c r="H1324" t="s">
        <v>22</v>
      </c>
      <c r="I1324">
        <v>1.01</v>
      </c>
      <c r="J1324">
        <v>4.0199999999999996</v>
      </c>
      <c r="K1324" t="s">
        <v>22</v>
      </c>
      <c r="L1324">
        <v>67.08</v>
      </c>
      <c r="M1324">
        <v>7.2</v>
      </c>
      <c r="N1324" t="s">
        <v>29</v>
      </c>
      <c r="O1324">
        <v>20.69</v>
      </c>
      <c r="P1324">
        <v>204.47</v>
      </c>
      <c r="Q1324" t="s">
        <v>22</v>
      </c>
      <c r="R1324">
        <v>16.45</v>
      </c>
      <c r="S1324">
        <v>0.91930000000000001</v>
      </c>
    </row>
    <row r="1325" spans="1:19" x14ac:dyDescent="0.25">
      <c r="A1325">
        <v>1039</v>
      </c>
      <c r="B1325">
        <v>5</v>
      </c>
      <c r="C1325" t="s">
        <v>35</v>
      </c>
      <c r="D1325">
        <v>5.18</v>
      </c>
      <c r="E1325">
        <v>0.13200000000000001</v>
      </c>
      <c r="F1325">
        <v>393</v>
      </c>
      <c r="G1325">
        <v>150</v>
      </c>
      <c r="H1325" t="s">
        <v>22</v>
      </c>
      <c r="I1325">
        <v>1.01</v>
      </c>
      <c r="J1325">
        <v>4.0199999999999996</v>
      </c>
      <c r="K1325" t="s">
        <v>22</v>
      </c>
      <c r="L1325">
        <v>67.08</v>
      </c>
      <c r="M1325">
        <v>7.2</v>
      </c>
      <c r="N1325" t="s">
        <v>32</v>
      </c>
      <c r="O1325">
        <v>20.69</v>
      </c>
      <c r="P1325">
        <v>103.02</v>
      </c>
      <c r="Q1325" t="s">
        <v>22</v>
      </c>
      <c r="R1325">
        <v>41.41</v>
      </c>
      <c r="S1325">
        <v>0.58399999999999996</v>
      </c>
    </row>
    <row r="1326" spans="1:19" x14ac:dyDescent="0.25">
      <c r="A1326">
        <v>1040</v>
      </c>
      <c r="B1326">
        <v>1</v>
      </c>
      <c r="C1326" t="s">
        <v>40</v>
      </c>
      <c r="D1326">
        <v>6.04</v>
      </c>
      <c r="E1326">
        <v>3.8E-3</v>
      </c>
      <c r="F1326">
        <v>400</v>
      </c>
      <c r="G1326">
        <v>150</v>
      </c>
      <c r="H1326" t="s">
        <v>22</v>
      </c>
      <c r="I1326" t="s">
        <v>22</v>
      </c>
      <c r="J1326" t="s">
        <v>22</v>
      </c>
      <c r="K1326" t="s">
        <v>22</v>
      </c>
      <c r="L1326" t="s">
        <v>22</v>
      </c>
      <c r="M1326">
        <v>7</v>
      </c>
      <c r="N1326" t="s">
        <v>38</v>
      </c>
      <c r="O1326" t="s">
        <v>22</v>
      </c>
      <c r="P1326">
        <v>1</v>
      </c>
      <c r="Q1326" t="s">
        <v>22</v>
      </c>
      <c r="R1326" t="s">
        <v>22</v>
      </c>
      <c r="S1326">
        <v>0.4108</v>
      </c>
    </row>
    <row r="1327" spans="1:19" x14ac:dyDescent="0.25">
      <c r="A1327">
        <v>1040</v>
      </c>
      <c r="B1327">
        <v>1</v>
      </c>
      <c r="C1327" t="s">
        <v>40</v>
      </c>
      <c r="D1327">
        <v>6.04</v>
      </c>
      <c r="E1327">
        <v>3.8E-3</v>
      </c>
      <c r="F1327">
        <v>400</v>
      </c>
      <c r="G1327">
        <v>150</v>
      </c>
      <c r="H1327" t="s">
        <v>22</v>
      </c>
      <c r="I1327" t="s">
        <v>22</v>
      </c>
      <c r="J1327" t="s">
        <v>22</v>
      </c>
      <c r="K1327" t="s">
        <v>22</v>
      </c>
      <c r="L1327" t="s">
        <v>22</v>
      </c>
      <c r="M1327">
        <v>7</v>
      </c>
      <c r="N1327" t="s">
        <v>38</v>
      </c>
      <c r="O1327" t="s">
        <v>22</v>
      </c>
      <c r="P1327">
        <v>2</v>
      </c>
      <c r="Q1327" t="s">
        <v>22</v>
      </c>
      <c r="R1327" t="s">
        <v>22</v>
      </c>
      <c r="S1327">
        <v>0.40079999999999999</v>
      </c>
    </row>
    <row r="1328" spans="1:19" x14ac:dyDescent="0.25">
      <c r="A1328">
        <v>1040</v>
      </c>
      <c r="B1328">
        <v>1</v>
      </c>
      <c r="C1328" t="s">
        <v>40</v>
      </c>
      <c r="D1328">
        <v>6.04</v>
      </c>
      <c r="E1328">
        <v>3.8E-3</v>
      </c>
      <c r="F1328">
        <v>400</v>
      </c>
      <c r="G1328">
        <v>150</v>
      </c>
      <c r="H1328" t="s">
        <v>22</v>
      </c>
      <c r="I1328" t="s">
        <v>22</v>
      </c>
      <c r="J1328" t="s">
        <v>22</v>
      </c>
      <c r="K1328" t="s">
        <v>22</v>
      </c>
      <c r="L1328" t="s">
        <v>22</v>
      </c>
      <c r="M1328">
        <v>7</v>
      </c>
      <c r="N1328" t="s">
        <v>38</v>
      </c>
      <c r="O1328" t="s">
        <v>22</v>
      </c>
      <c r="P1328">
        <v>5</v>
      </c>
      <c r="Q1328" t="s">
        <v>22</v>
      </c>
      <c r="R1328" t="s">
        <v>22</v>
      </c>
      <c r="S1328">
        <v>0.44819999999999999</v>
      </c>
    </row>
    <row r="1329" spans="1:19" x14ac:dyDescent="0.25">
      <c r="A1329">
        <v>1040</v>
      </c>
      <c r="B1329">
        <v>1</v>
      </c>
      <c r="C1329" t="s">
        <v>40</v>
      </c>
      <c r="D1329">
        <v>6.04</v>
      </c>
      <c r="E1329">
        <v>3.8E-3</v>
      </c>
      <c r="F1329">
        <v>400</v>
      </c>
      <c r="G1329">
        <v>150</v>
      </c>
      <c r="H1329" t="s">
        <v>22</v>
      </c>
      <c r="I1329" t="s">
        <v>22</v>
      </c>
      <c r="J1329" t="s">
        <v>22</v>
      </c>
      <c r="K1329" t="s">
        <v>22</v>
      </c>
      <c r="L1329" t="s">
        <v>22</v>
      </c>
      <c r="M1329">
        <v>7</v>
      </c>
      <c r="N1329" t="s">
        <v>38</v>
      </c>
      <c r="O1329" t="s">
        <v>22</v>
      </c>
      <c r="P1329">
        <v>10</v>
      </c>
      <c r="Q1329" t="s">
        <v>22</v>
      </c>
      <c r="R1329" t="s">
        <v>22</v>
      </c>
      <c r="S1329">
        <v>0.52880000000000005</v>
      </c>
    </row>
    <row r="1330" spans="1:19" x14ac:dyDescent="0.25">
      <c r="A1330">
        <v>1040</v>
      </c>
      <c r="B1330">
        <v>1</v>
      </c>
      <c r="C1330" t="s">
        <v>40</v>
      </c>
      <c r="D1330">
        <v>6.04</v>
      </c>
      <c r="E1330">
        <v>3.8E-3</v>
      </c>
      <c r="F1330">
        <v>400</v>
      </c>
      <c r="G1330">
        <v>150</v>
      </c>
      <c r="H1330" t="s">
        <v>22</v>
      </c>
      <c r="I1330" t="s">
        <v>22</v>
      </c>
      <c r="J1330" t="s">
        <v>22</v>
      </c>
      <c r="K1330" t="s">
        <v>22</v>
      </c>
      <c r="L1330" t="s">
        <v>22</v>
      </c>
      <c r="M1330">
        <v>7</v>
      </c>
      <c r="N1330" t="s">
        <v>38</v>
      </c>
      <c r="O1330" t="s">
        <v>22</v>
      </c>
      <c r="P1330">
        <v>20</v>
      </c>
      <c r="Q1330" t="s">
        <v>22</v>
      </c>
      <c r="R1330" t="s">
        <v>22</v>
      </c>
      <c r="S1330">
        <v>0.35089999999999999</v>
      </c>
    </row>
    <row r="1331" spans="1:19" x14ac:dyDescent="0.25">
      <c r="A1331">
        <v>1040</v>
      </c>
      <c r="B1331">
        <v>2</v>
      </c>
      <c r="C1331" t="s">
        <v>40</v>
      </c>
      <c r="D1331">
        <v>6.04</v>
      </c>
      <c r="E1331">
        <v>3.8E-3</v>
      </c>
      <c r="F1331">
        <v>400</v>
      </c>
      <c r="G1331">
        <v>150</v>
      </c>
      <c r="H1331" t="s">
        <v>22</v>
      </c>
      <c r="I1331" t="s">
        <v>22</v>
      </c>
      <c r="J1331" t="s">
        <v>22</v>
      </c>
      <c r="K1331" t="s">
        <v>22</v>
      </c>
      <c r="L1331" t="s">
        <v>22</v>
      </c>
      <c r="M1331">
        <v>7</v>
      </c>
      <c r="N1331" t="s">
        <v>38</v>
      </c>
      <c r="O1331" t="s">
        <v>22</v>
      </c>
      <c r="P1331">
        <v>10</v>
      </c>
      <c r="Q1331" t="s">
        <v>22</v>
      </c>
      <c r="R1331" t="s">
        <v>22</v>
      </c>
      <c r="S1331">
        <v>0.1303</v>
      </c>
    </row>
    <row r="1332" spans="1:19" x14ac:dyDescent="0.25">
      <c r="A1332">
        <v>1040</v>
      </c>
      <c r="B1332">
        <v>2</v>
      </c>
      <c r="C1332" t="s">
        <v>40</v>
      </c>
      <c r="D1332">
        <v>6.04</v>
      </c>
      <c r="E1332">
        <v>3.8E-3</v>
      </c>
      <c r="F1332">
        <v>400</v>
      </c>
      <c r="G1332">
        <v>150</v>
      </c>
      <c r="H1332" t="s">
        <v>22</v>
      </c>
      <c r="I1332" t="s">
        <v>22</v>
      </c>
      <c r="J1332" t="s">
        <v>22</v>
      </c>
      <c r="K1332" t="s">
        <v>22</v>
      </c>
      <c r="L1332" t="s">
        <v>22</v>
      </c>
      <c r="M1332">
        <v>7</v>
      </c>
      <c r="N1332" t="s">
        <v>38</v>
      </c>
      <c r="O1332" t="s">
        <v>22</v>
      </c>
      <c r="P1332">
        <v>10</v>
      </c>
      <c r="Q1332" t="s">
        <v>22</v>
      </c>
      <c r="R1332" t="s">
        <v>22</v>
      </c>
      <c r="S1332">
        <v>0.21060000000000001</v>
      </c>
    </row>
    <row r="1333" spans="1:19" x14ac:dyDescent="0.25">
      <c r="A1333">
        <v>1040</v>
      </c>
      <c r="B1333">
        <v>2</v>
      </c>
      <c r="C1333" t="s">
        <v>40</v>
      </c>
      <c r="D1333">
        <v>6.04</v>
      </c>
      <c r="E1333">
        <v>3.8E-3</v>
      </c>
      <c r="F1333">
        <v>400</v>
      </c>
      <c r="G1333">
        <v>150</v>
      </c>
      <c r="H1333" t="s">
        <v>22</v>
      </c>
      <c r="I1333" t="s">
        <v>22</v>
      </c>
      <c r="J1333" t="s">
        <v>22</v>
      </c>
      <c r="K1333" t="s">
        <v>22</v>
      </c>
      <c r="L1333" t="s">
        <v>22</v>
      </c>
      <c r="M1333">
        <v>7</v>
      </c>
      <c r="N1333" t="s">
        <v>38</v>
      </c>
      <c r="O1333" t="s">
        <v>22</v>
      </c>
      <c r="P1333">
        <v>10</v>
      </c>
      <c r="Q1333" t="s">
        <v>22</v>
      </c>
      <c r="R1333" t="s">
        <v>22</v>
      </c>
      <c r="S1333">
        <v>0.34010000000000001</v>
      </c>
    </row>
    <row r="1334" spans="1:19" x14ac:dyDescent="0.25">
      <c r="A1334">
        <v>1040</v>
      </c>
      <c r="B1334">
        <v>2</v>
      </c>
      <c r="C1334" t="s">
        <v>40</v>
      </c>
      <c r="D1334">
        <v>6.04</v>
      </c>
      <c r="E1334">
        <v>3.8E-3</v>
      </c>
      <c r="F1334">
        <v>400</v>
      </c>
      <c r="G1334">
        <v>150</v>
      </c>
      <c r="H1334" t="s">
        <v>22</v>
      </c>
      <c r="I1334" t="s">
        <v>22</v>
      </c>
      <c r="J1334" t="s">
        <v>22</v>
      </c>
      <c r="K1334" t="s">
        <v>22</v>
      </c>
      <c r="L1334" t="s">
        <v>22</v>
      </c>
      <c r="M1334">
        <v>7</v>
      </c>
      <c r="N1334" t="s">
        <v>38</v>
      </c>
      <c r="O1334" t="s">
        <v>22</v>
      </c>
      <c r="P1334">
        <v>10</v>
      </c>
      <c r="Q1334" t="s">
        <v>22</v>
      </c>
      <c r="R1334" t="s">
        <v>22</v>
      </c>
      <c r="S1334">
        <v>0.3765</v>
      </c>
    </row>
    <row r="1335" spans="1:19" x14ac:dyDescent="0.25">
      <c r="A1335">
        <v>1040</v>
      </c>
      <c r="B1335">
        <v>2</v>
      </c>
      <c r="C1335" t="s">
        <v>40</v>
      </c>
      <c r="D1335">
        <v>6.04</v>
      </c>
      <c r="E1335">
        <v>3.8E-3</v>
      </c>
      <c r="F1335">
        <v>400</v>
      </c>
      <c r="G1335">
        <v>150</v>
      </c>
      <c r="H1335" t="s">
        <v>22</v>
      </c>
      <c r="I1335" t="s">
        <v>22</v>
      </c>
      <c r="J1335" t="s">
        <v>22</v>
      </c>
      <c r="K1335" t="s">
        <v>22</v>
      </c>
      <c r="L1335" t="s">
        <v>22</v>
      </c>
      <c r="M1335">
        <v>7</v>
      </c>
      <c r="N1335" t="s">
        <v>38</v>
      </c>
      <c r="O1335" t="s">
        <v>22</v>
      </c>
      <c r="P1335">
        <v>10</v>
      </c>
      <c r="Q1335" t="s">
        <v>22</v>
      </c>
      <c r="R1335" t="s">
        <v>22</v>
      </c>
      <c r="S1335">
        <v>0.44390000000000002</v>
      </c>
    </row>
    <row r="1336" spans="1:19" x14ac:dyDescent="0.25">
      <c r="A1336">
        <v>1040</v>
      </c>
      <c r="B1336">
        <v>2</v>
      </c>
      <c r="C1336" t="s">
        <v>40</v>
      </c>
      <c r="D1336">
        <v>6.04</v>
      </c>
      <c r="E1336">
        <v>3.8E-3</v>
      </c>
      <c r="F1336">
        <v>400</v>
      </c>
      <c r="G1336">
        <v>150</v>
      </c>
      <c r="H1336" t="s">
        <v>22</v>
      </c>
      <c r="I1336" t="s">
        <v>22</v>
      </c>
      <c r="J1336" t="s">
        <v>22</v>
      </c>
      <c r="K1336" t="s">
        <v>22</v>
      </c>
      <c r="L1336" t="s">
        <v>22</v>
      </c>
      <c r="M1336">
        <v>7</v>
      </c>
      <c r="N1336" t="s">
        <v>38</v>
      </c>
      <c r="O1336" t="s">
        <v>22</v>
      </c>
      <c r="P1336">
        <v>10</v>
      </c>
      <c r="Q1336" t="s">
        <v>22</v>
      </c>
      <c r="R1336" t="s">
        <v>22</v>
      </c>
      <c r="S1336">
        <v>0.50219999999999998</v>
      </c>
    </row>
    <row r="1337" spans="1:19" x14ac:dyDescent="0.25">
      <c r="A1337">
        <v>1040</v>
      </c>
      <c r="B1337">
        <v>2</v>
      </c>
      <c r="C1337" t="s">
        <v>40</v>
      </c>
      <c r="D1337">
        <v>6.04</v>
      </c>
      <c r="E1337">
        <v>3.8E-3</v>
      </c>
      <c r="F1337">
        <v>400</v>
      </c>
      <c r="G1337">
        <v>150</v>
      </c>
      <c r="H1337" t="s">
        <v>22</v>
      </c>
      <c r="I1337" t="s">
        <v>22</v>
      </c>
      <c r="J1337" t="s">
        <v>22</v>
      </c>
      <c r="K1337" t="s">
        <v>22</v>
      </c>
      <c r="L1337" t="s">
        <v>22</v>
      </c>
      <c r="M1337">
        <v>7</v>
      </c>
      <c r="N1337" t="s">
        <v>38</v>
      </c>
      <c r="O1337" t="s">
        <v>22</v>
      </c>
      <c r="P1337">
        <v>10</v>
      </c>
      <c r="Q1337" t="s">
        <v>22</v>
      </c>
      <c r="R1337" t="s">
        <v>22</v>
      </c>
      <c r="S1337">
        <v>0.49840000000000001</v>
      </c>
    </row>
    <row r="1338" spans="1:19" x14ac:dyDescent="0.25">
      <c r="A1338">
        <v>1040</v>
      </c>
      <c r="B1338">
        <v>2</v>
      </c>
      <c r="C1338" t="s">
        <v>40</v>
      </c>
      <c r="D1338">
        <v>6.04</v>
      </c>
      <c r="E1338">
        <v>3.8E-3</v>
      </c>
      <c r="F1338">
        <v>400</v>
      </c>
      <c r="G1338">
        <v>150</v>
      </c>
      <c r="H1338" t="s">
        <v>22</v>
      </c>
      <c r="I1338" t="s">
        <v>22</v>
      </c>
      <c r="J1338" t="s">
        <v>22</v>
      </c>
      <c r="K1338" t="s">
        <v>22</v>
      </c>
      <c r="L1338" t="s">
        <v>22</v>
      </c>
      <c r="M1338">
        <v>7</v>
      </c>
      <c r="N1338" t="s">
        <v>38</v>
      </c>
      <c r="O1338" t="s">
        <v>22</v>
      </c>
      <c r="P1338">
        <v>10</v>
      </c>
      <c r="Q1338" t="s">
        <v>22</v>
      </c>
      <c r="R1338" t="s">
        <v>22</v>
      </c>
      <c r="S1338">
        <v>0.48099999999999998</v>
      </c>
    </row>
    <row r="1339" spans="1:19" x14ac:dyDescent="0.25">
      <c r="A1339">
        <v>1040</v>
      </c>
      <c r="B1339">
        <v>3</v>
      </c>
      <c r="C1339" t="s">
        <v>40</v>
      </c>
      <c r="D1339">
        <v>6.04</v>
      </c>
      <c r="E1339">
        <v>3.8E-3</v>
      </c>
      <c r="F1339">
        <v>400</v>
      </c>
      <c r="G1339">
        <v>150</v>
      </c>
      <c r="H1339" t="s">
        <v>22</v>
      </c>
      <c r="I1339" t="s">
        <v>22</v>
      </c>
      <c r="J1339" t="s">
        <v>22</v>
      </c>
      <c r="K1339" t="s">
        <v>22</v>
      </c>
      <c r="L1339" t="s">
        <v>22</v>
      </c>
      <c r="M1339">
        <v>4</v>
      </c>
      <c r="N1339" t="s">
        <v>38</v>
      </c>
      <c r="O1339" t="s">
        <v>22</v>
      </c>
      <c r="P1339">
        <v>10</v>
      </c>
      <c r="Q1339" t="s">
        <v>22</v>
      </c>
      <c r="R1339" t="s">
        <v>22</v>
      </c>
      <c r="S1339">
        <v>0.20599999999999999</v>
      </c>
    </row>
    <row r="1340" spans="1:19" x14ac:dyDescent="0.25">
      <c r="A1340">
        <v>1040</v>
      </c>
      <c r="B1340">
        <v>3</v>
      </c>
      <c r="C1340" t="s">
        <v>40</v>
      </c>
      <c r="D1340">
        <v>6.04</v>
      </c>
      <c r="E1340">
        <v>3.8E-3</v>
      </c>
      <c r="F1340">
        <v>400</v>
      </c>
      <c r="G1340">
        <v>150</v>
      </c>
      <c r="H1340" t="s">
        <v>22</v>
      </c>
      <c r="I1340" t="s">
        <v>22</v>
      </c>
      <c r="J1340" t="s">
        <v>22</v>
      </c>
      <c r="K1340" t="s">
        <v>22</v>
      </c>
      <c r="L1340" t="s">
        <v>22</v>
      </c>
      <c r="M1340">
        <v>5</v>
      </c>
      <c r="N1340" t="s">
        <v>38</v>
      </c>
      <c r="O1340" t="s">
        <v>22</v>
      </c>
      <c r="P1340">
        <v>10</v>
      </c>
      <c r="Q1340" t="s">
        <v>22</v>
      </c>
      <c r="R1340" t="s">
        <v>22</v>
      </c>
      <c r="S1340">
        <v>0.2525</v>
      </c>
    </row>
    <row r="1341" spans="1:19" x14ac:dyDescent="0.25">
      <c r="A1341">
        <v>1040</v>
      </c>
      <c r="B1341">
        <v>3</v>
      </c>
      <c r="C1341" t="s">
        <v>40</v>
      </c>
      <c r="D1341">
        <v>6.04</v>
      </c>
      <c r="E1341">
        <v>3.8E-3</v>
      </c>
      <c r="F1341">
        <v>400</v>
      </c>
      <c r="G1341">
        <v>150</v>
      </c>
      <c r="H1341" t="s">
        <v>22</v>
      </c>
      <c r="I1341" t="s">
        <v>22</v>
      </c>
      <c r="J1341" t="s">
        <v>22</v>
      </c>
      <c r="K1341" t="s">
        <v>22</v>
      </c>
      <c r="L1341" t="s">
        <v>22</v>
      </c>
      <c r="M1341">
        <v>6</v>
      </c>
      <c r="N1341" t="s">
        <v>38</v>
      </c>
      <c r="O1341" t="s">
        <v>22</v>
      </c>
      <c r="P1341">
        <v>10</v>
      </c>
      <c r="Q1341" t="s">
        <v>22</v>
      </c>
      <c r="R1341" t="s">
        <v>22</v>
      </c>
      <c r="S1341">
        <v>0.45229999999999998</v>
      </c>
    </row>
    <row r="1342" spans="1:19" x14ac:dyDescent="0.25">
      <c r="A1342">
        <v>1040</v>
      </c>
      <c r="B1342">
        <v>3</v>
      </c>
      <c r="C1342" t="s">
        <v>40</v>
      </c>
      <c r="D1342">
        <v>6.04</v>
      </c>
      <c r="E1342">
        <v>3.8E-3</v>
      </c>
      <c r="F1342">
        <v>400</v>
      </c>
      <c r="G1342">
        <v>150</v>
      </c>
      <c r="H1342" t="s">
        <v>22</v>
      </c>
      <c r="I1342" t="s">
        <v>22</v>
      </c>
      <c r="J1342" t="s">
        <v>22</v>
      </c>
      <c r="K1342" t="s">
        <v>22</v>
      </c>
      <c r="L1342" t="s">
        <v>22</v>
      </c>
      <c r="M1342">
        <v>7</v>
      </c>
      <c r="N1342" t="s">
        <v>38</v>
      </c>
      <c r="O1342" t="s">
        <v>22</v>
      </c>
      <c r="P1342">
        <v>10</v>
      </c>
      <c r="Q1342" t="s">
        <v>22</v>
      </c>
      <c r="R1342" t="s">
        <v>22</v>
      </c>
      <c r="S1342">
        <v>0.51600000000000001</v>
      </c>
    </row>
    <row r="1343" spans="1:19" x14ac:dyDescent="0.25">
      <c r="A1343">
        <v>1040</v>
      </c>
      <c r="B1343">
        <v>3</v>
      </c>
      <c r="C1343" t="s">
        <v>40</v>
      </c>
      <c r="D1343">
        <v>6.04</v>
      </c>
      <c r="E1343">
        <v>3.8E-3</v>
      </c>
      <c r="F1343">
        <v>400</v>
      </c>
      <c r="G1343">
        <v>150</v>
      </c>
      <c r="H1343" t="s">
        <v>22</v>
      </c>
      <c r="I1343" t="s">
        <v>22</v>
      </c>
      <c r="J1343" t="s">
        <v>22</v>
      </c>
      <c r="K1343" t="s">
        <v>22</v>
      </c>
      <c r="L1343" t="s">
        <v>22</v>
      </c>
      <c r="M1343">
        <v>8</v>
      </c>
      <c r="N1343" t="s">
        <v>38</v>
      </c>
      <c r="O1343" t="s">
        <v>22</v>
      </c>
      <c r="P1343">
        <v>10</v>
      </c>
      <c r="Q1343" t="s">
        <v>22</v>
      </c>
      <c r="R1343" t="s">
        <v>22</v>
      </c>
      <c r="S1343">
        <v>0.38929999999999998</v>
      </c>
    </row>
    <row r="1344" spans="1:19" x14ac:dyDescent="0.25">
      <c r="A1344">
        <v>1040</v>
      </c>
      <c r="B1344">
        <v>3</v>
      </c>
      <c r="C1344" t="s">
        <v>40</v>
      </c>
      <c r="D1344">
        <v>6.04</v>
      </c>
      <c r="E1344">
        <v>3.8E-3</v>
      </c>
      <c r="F1344">
        <v>400</v>
      </c>
      <c r="G1344">
        <v>150</v>
      </c>
      <c r="H1344" t="s">
        <v>22</v>
      </c>
      <c r="I1344" t="s">
        <v>22</v>
      </c>
      <c r="J1344" t="s">
        <v>22</v>
      </c>
      <c r="K1344" t="s">
        <v>22</v>
      </c>
      <c r="L1344" t="s">
        <v>22</v>
      </c>
      <c r="M1344">
        <v>9</v>
      </c>
      <c r="N1344" t="s">
        <v>38</v>
      </c>
      <c r="O1344" t="s">
        <v>22</v>
      </c>
      <c r="P1344">
        <v>10</v>
      </c>
      <c r="Q1344" t="s">
        <v>22</v>
      </c>
      <c r="R1344" t="s">
        <v>22</v>
      </c>
      <c r="S1344">
        <v>0.35310000000000002</v>
      </c>
    </row>
    <row r="1345" spans="1:19" x14ac:dyDescent="0.25">
      <c r="A1345">
        <v>1040</v>
      </c>
      <c r="B1345">
        <v>4</v>
      </c>
      <c r="C1345" t="s">
        <v>40</v>
      </c>
      <c r="D1345">
        <v>6.04</v>
      </c>
      <c r="E1345">
        <v>3.8E-3</v>
      </c>
      <c r="F1345">
        <v>400</v>
      </c>
      <c r="G1345">
        <v>150</v>
      </c>
      <c r="H1345" t="s">
        <v>22</v>
      </c>
      <c r="I1345" t="s">
        <v>22</v>
      </c>
      <c r="J1345" t="s">
        <v>22</v>
      </c>
      <c r="K1345" t="s">
        <v>22</v>
      </c>
      <c r="L1345" t="s">
        <v>22</v>
      </c>
      <c r="M1345">
        <v>7</v>
      </c>
      <c r="N1345" t="s">
        <v>38</v>
      </c>
      <c r="O1345" t="s">
        <v>22</v>
      </c>
      <c r="P1345">
        <v>10</v>
      </c>
      <c r="Q1345" t="s">
        <v>22</v>
      </c>
      <c r="R1345" t="s">
        <v>22</v>
      </c>
      <c r="S1345">
        <v>0.27050000000000002</v>
      </c>
    </row>
    <row r="1346" spans="1:19" x14ac:dyDescent="0.25">
      <c r="A1346">
        <v>1040</v>
      </c>
      <c r="B1346">
        <v>4</v>
      </c>
      <c r="C1346" t="s">
        <v>40</v>
      </c>
      <c r="D1346">
        <v>6.04</v>
      </c>
      <c r="E1346">
        <v>3.8E-3</v>
      </c>
      <c r="F1346">
        <v>400</v>
      </c>
      <c r="G1346">
        <v>150</v>
      </c>
      <c r="H1346" t="s">
        <v>22</v>
      </c>
      <c r="I1346" t="s">
        <v>22</v>
      </c>
      <c r="J1346" t="s">
        <v>22</v>
      </c>
      <c r="K1346" t="s">
        <v>22</v>
      </c>
      <c r="L1346" t="s">
        <v>22</v>
      </c>
      <c r="M1346">
        <v>7</v>
      </c>
      <c r="N1346" t="s">
        <v>38</v>
      </c>
      <c r="O1346" t="s">
        <v>22</v>
      </c>
      <c r="P1346">
        <v>10</v>
      </c>
      <c r="Q1346" t="s">
        <v>22</v>
      </c>
      <c r="R1346" t="s">
        <v>22</v>
      </c>
      <c r="S1346">
        <v>0.41120000000000001</v>
      </c>
    </row>
    <row r="1347" spans="1:19" x14ac:dyDescent="0.25">
      <c r="A1347">
        <v>1040</v>
      </c>
      <c r="B1347">
        <v>4</v>
      </c>
      <c r="C1347" t="s">
        <v>40</v>
      </c>
      <c r="D1347">
        <v>6.04</v>
      </c>
      <c r="E1347">
        <v>3.8E-3</v>
      </c>
      <c r="F1347">
        <v>400</v>
      </c>
      <c r="G1347">
        <v>150</v>
      </c>
      <c r="H1347" t="s">
        <v>22</v>
      </c>
      <c r="I1347" t="s">
        <v>22</v>
      </c>
      <c r="J1347" t="s">
        <v>22</v>
      </c>
      <c r="K1347" t="s">
        <v>22</v>
      </c>
      <c r="L1347" t="s">
        <v>22</v>
      </c>
      <c r="M1347">
        <v>7</v>
      </c>
      <c r="N1347" t="s">
        <v>38</v>
      </c>
      <c r="O1347" t="s">
        <v>22</v>
      </c>
      <c r="P1347">
        <v>10</v>
      </c>
      <c r="Q1347" t="s">
        <v>22</v>
      </c>
      <c r="R1347" t="s">
        <v>22</v>
      </c>
      <c r="S1347">
        <v>0.55430000000000001</v>
      </c>
    </row>
    <row r="1348" spans="1:19" x14ac:dyDescent="0.25">
      <c r="A1348">
        <v>1040</v>
      </c>
      <c r="B1348">
        <v>4</v>
      </c>
      <c r="C1348" t="s">
        <v>40</v>
      </c>
      <c r="D1348">
        <v>6.04</v>
      </c>
      <c r="E1348">
        <v>3.8E-3</v>
      </c>
      <c r="F1348">
        <v>400</v>
      </c>
      <c r="G1348">
        <v>150</v>
      </c>
      <c r="H1348" t="s">
        <v>22</v>
      </c>
      <c r="I1348" t="s">
        <v>22</v>
      </c>
      <c r="J1348" t="s">
        <v>22</v>
      </c>
      <c r="K1348" t="s">
        <v>22</v>
      </c>
      <c r="L1348" t="s">
        <v>22</v>
      </c>
      <c r="M1348">
        <v>7</v>
      </c>
      <c r="N1348" t="s">
        <v>38</v>
      </c>
      <c r="O1348" t="s">
        <v>22</v>
      </c>
      <c r="P1348">
        <v>10</v>
      </c>
      <c r="Q1348" t="s">
        <v>22</v>
      </c>
      <c r="R1348" t="s">
        <v>22</v>
      </c>
      <c r="S1348">
        <v>0.50529999999999997</v>
      </c>
    </row>
    <row r="1349" spans="1:19" x14ac:dyDescent="0.25">
      <c r="A1349">
        <v>1040</v>
      </c>
      <c r="B1349">
        <v>4</v>
      </c>
      <c r="C1349" t="s">
        <v>40</v>
      </c>
      <c r="D1349">
        <v>6.04</v>
      </c>
      <c r="E1349">
        <v>3.8E-3</v>
      </c>
      <c r="F1349">
        <v>400</v>
      </c>
      <c r="G1349">
        <v>150</v>
      </c>
      <c r="H1349" t="s">
        <v>22</v>
      </c>
      <c r="I1349" t="s">
        <v>22</v>
      </c>
      <c r="J1349" t="s">
        <v>22</v>
      </c>
      <c r="K1349" t="s">
        <v>22</v>
      </c>
      <c r="L1349" t="s">
        <v>22</v>
      </c>
      <c r="M1349">
        <v>7</v>
      </c>
      <c r="N1349" t="s">
        <v>38</v>
      </c>
      <c r="O1349" t="s">
        <v>22</v>
      </c>
      <c r="P1349">
        <v>10</v>
      </c>
      <c r="Q1349" t="s">
        <v>22</v>
      </c>
      <c r="R1349" t="s">
        <v>22</v>
      </c>
      <c r="S1349">
        <v>0.51619999999999999</v>
      </c>
    </row>
    <row r="1350" spans="1:19" x14ac:dyDescent="0.25">
      <c r="A1350">
        <v>1040</v>
      </c>
      <c r="B1350">
        <v>5</v>
      </c>
      <c r="C1350" t="s">
        <v>40</v>
      </c>
      <c r="D1350">
        <v>6.04</v>
      </c>
      <c r="E1350">
        <v>3.8E-3</v>
      </c>
      <c r="F1350">
        <v>400</v>
      </c>
      <c r="G1350">
        <v>150</v>
      </c>
      <c r="H1350" t="s">
        <v>22</v>
      </c>
      <c r="I1350" t="s">
        <v>22</v>
      </c>
      <c r="J1350" t="s">
        <v>22</v>
      </c>
      <c r="K1350" t="s">
        <v>22</v>
      </c>
      <c r="L1350" t="s">
        <v>22</v>
      </c>
      <c r="M1350">
        <v>7</v>
      </c>
      <c r="N1350" t="s">
        <v>38</v>
      </c>
      <c r="O1350" t="s">
        <v>22</v>
      </c>
      <c r="P1350">
        <v>10</v>
      </c>
      <c r="Q1350" t="s">
        <v>22</v>
      </c>
      <c r="R1350" t="s">
        <v>22</v>
      </c>
      <c r="S1350">
        <v>0.52010000000000001</v>
      </c>
    </row>
    <row r="1351" spans="1:19" x14ac:dyDescent="0.25">
      <c r="A1351">
        <v>1040</v>
      </c>
      <c r="B1351">
        <v>5</v>
      </c>
      <c r="C1351" t="s">
        <v>40</v>
      </c>
      <c r="D1351">
        <v>6.04</v>
      </c>
      <c r="E1351">
        <v>3.8E-3</v>
      </c>
      <c r="F1351">
        <v>400</v>
      </c>
      <c r="G1351">
        <v>150</v>
      </c>
      <c r="H1351" t="s">
        <v>22</v>
      </c>
      <c r="I1351" t="s">
        <v>22</v>
      </c>
      <c r="J1351" t="s">
        <v>22</v>
      </c>
      <c r="K1351" t="s">
        <v>22</v>
      </c>
      <c r="L1351" t="s">
        <v>22</v>
      </c>
      <c r="M1351">
        <v>7</v>
      </c>
      <c r="N1351" t="s">
        <v>38</v>
      </c>
      <c r="O1351" t="s">
        <v>22</v>
      </c>
      <c r="P1351">
        <v>10</v>
      </c>
      <c r="Q1351" t="s">
        <v>22</v>
      </c>
      <c r="R1351" t="s">
        <v>22</v>
      </c>
      <c r="S1351">
        <v>0.51790000000000003</v>
      </c>
    </row>
    <row r="1352" spans="1:19" x14ac:dyDescent="0.25">
      <c r="A1352">
        <v>1040</v>
      </c>
      <c r="B1352">
        <v>5</v>
      </c>
      <c r="C1352" t="s">
        <v>40</v>
      </c>
      <c r="D1352">
        <v>6.04</v>
      </c>
      <c r="E1352">
        <v>3.8E-3</v>
      </c>
      <c r="F1352">
        <v>400</v>
      </c>
      <c r="G1352">
        <v>150</v>
      </c>
      <c r="H1352" t="s">
        <v>22</v>
      </c>
      <c r="I1352" t="s">
        <v>22</v>
      </c>
      <c r="J1352" t="s">
        <v>22</v>
      </c>
      <c r="K1352" t="s">
        <v>22</v>
      </c>
      <c r="L1352" t="s">
        <v>22</v>
      </c>
      <c r="M1352">
        <v>7</v>
      </c>
      <c r="N1352" t="s">
        <v>38</v>
      </c>
      <c r="O1352" t="s">
        <v>22</v>
      </c>
      <c r="P1352">
        <v>10</v>
      </c>
      <c r="Q1352" t="s">
        <v>22</v>
      </c>
      <c r="R1352" t="s">
        <v>22</v>
      </c>
      <c r="S1352">
        <v>0.53280000000000005</v>
      </c>
    </row>
    <row r="1353" spans="1:19" x14ac:dyDescent="0.25">
      <c r="A1353">
        <v>1040</v>
      </c>
      <c r="B1353">
        <v>5</v>
      </c>
      <c r="C1353" t="s">
        <v>40</v>
      </c>
      <c r="D1353">
        <v>6.04</v>
      </c>
      <c r="E1353">
        <v>3.8E-3</v>
      </c>
      <c r="F1353">
        <v>400</v>
      </c>
      <c r="G1353">
        <v>150</v>
      </c>
      <c r="H1353" t="s">
        <v>22</v>
      </c>
      <c r="I1353" t="s">
        <v>22</v>
      </c>
      <c r="J1353" t="s">
        <v>22</v>
      </c>
      <c r="K1353" t="s">
        <v>22</v>
      </c>
      <c r="L1353" t="s">
        <v>22</v>
      </c>
      <c r="M1353">
        <v>7</v>
      </c>
      <c r="N1353" t="s">
        <v>38</v>
      </c>
      <c r="O1353" t="s">
        <v>22</v>
      </c>
      <c r="P1353">
        <v>10</v>
      </c>
      <c r="Q1353" t="s">
        <v>22</v>
      </c>
      <c r="R1353" t="s">
        <v>22</v>
      </c>
      <c r="S1353">
        <v>0.64959999999999996</v>
      </c>
    </row>
    <row r="1354" spans="1:19" x14ac:dyDescent="0.25">
      <c r="A1354">
        <v>1040</v>
      </c>
      <c r="B1354">
        <v>5</v>
      </c>
      <c r="C1354" t="s">
        <v>40</v>
      </c>
      <c r="D1354">
        <v>6.04</v>
      </c>
      <c r="E1354">
        <v>3.8E-3</v>
      </c>
      <c r="F1354">
        <v>400</v>
      </c>
      <c r="G1354">
        <v>150</v>
      </c>
      <c r="H1354" t="s">
        <v>22</v>
      </c>
      <c r="I1354" t="s">
        <v>22</v>
      </c>
      <c r="J1354" t="s">
        <v>22</v>
      </c>
      <c r="K1354" t="s">
        <v>22</v>
      </c>
      <c r="L1354" t="s">
        <v>22</v>
      </c>
      <c r="M1354">
        <v>7</v>
      </c>
      <c r="N1354" t="s">
        <v>38</v>
      </c>
      <c r="O1354" t="s">
        <v>22</v>
      </c>
      <c r="P1354">
        <v>10</v>
      </c>
      <c r="Q1354" t="s">
        <v>22</v>
      </c>
      <c r="R1354" t="s">
        <v>22</v>
      </c>
      <c r="S1354">
        <v>0.65039999999999998</v>
      </c>
    </row>
    <row r="1355" spans="1:19" x14ac:dyDescent="0.25">
      <c r="A1355">
        <v>1040</v>
      </c>
      <c r="B1355">
        <v>5</v>
      </c>
      <c r="C1355" t="s">
        <v>40</v>
      </c>
      <c r="D1355">
        <v>6.04</v>
      </c>
      <c r="E1355">
        <v>3.8E-3</v>
      </c>
      <c r="F1355">
        <v>400</v>
      </c>
      <c r="G1355">
        <v>150</v>
      </c>
      <c r="H1355" t="s">
        <v>22</v>
      </c>
      <c r="I1355" t="s">
        <v>22</v>
      </c>
      <c r="J1355" t="s">
        <v>22</v>
      </c>
      <c r="K1355" t="s">
        <v>22</v>
      </c>
      <c r="L1355" t="s">
        <v>22</v>
      </c>
      <c r="M1355">
        <v>7</v>
      </c>
      <c r="N1355" t="s">
        <v>38</v>
      </c>
      <c r="O1355" t="s">
        <v>22</v>
      </c>
      <c r="P1355">
        <v>10</v>
      </c>
      <c r="Q1355" t="s">
        <v>22</v>
      </c>
      <c r="R1355" t="s">
        <v>22</v>
      </c>
      <c r="S1355">
        <v>0.54320000000000002</v>
      </c>
    </row>
    <row r="1356" spans="1:19" x14ac:dyDescent="0.25">
      <c r="A1356">
        <v>1042</v>
      </c>
      <c r="B1356">
        <v>1</v>
      </c>
      <c r="C1356" t="s">
        <v>28</v>
      </c>
      <c r="D1356">
        <v>4.57</v>
      </c>
      <c r="E1356">
        <v>1.1000000000000001</v>
      </c>
      <c r="F1356">
        <v>340</v>
      </c>
      <c r="G1356">
        <v>101</v>
      </c>
      <c r="H1356" t="s">
        <v>22</v>
      </c>
      <c r="I1356" t="s">
        <v>22</v>
      </c>
      <c r="J1356">
        <v>600</v>
      </c>
      <c r="K1356" t="s">
        <v>22</v>
      </c>
      <c r="L1356" t="s">
        <v>22</v>
      </c>
      <c r="M1356">
        <v>7</v>
      </c>
      <c r="N1356" t="s">
        <v>29</v>
      </c>
      <c r="O1356" t="s">
        <v>22</v>
      </c>
      <c r="P1356">
        <v>100</v>
      </c>
      <c r="Q1356">
        <v>30</v>
      </c>
      <c r="R1356">
        <v>9</v>
      </c>
      <c r="S1356">
        <v>0.441</v>
      </c>
    </row>
    <row r="1357" spans="1:19" x14ac:dyDescent="0.25">
      <c r="A1357">
        <v>1042</v>
      </c>
      <c r="B1357">
        <v>1</v>
      </c>
      <c r="C1357" t="s">
        <v>35</v>
      </c>
      <c r="D1357">
        <v>5.18</v>
      </c>
      <c r="E1357">
        <v>0.13200000000000001</v>
      </c>
      <c r="F1357">
        <v>393</v>
      </c>
      <c r="G1357">
        <v>150</v>
      </c>
      <c r="H1357" t="s">
        <v>22</v>
      </c>
      <c r="I1357" t="s">
        <v>22</v>
      </c>
      <c r="J1357">
        <v>600</v>
      </c>
      <c r="K1357" t="s">
        <v>22</v>
      </c>
      <c r="L1357" t="s">
        <v>22</v>
      </c>
      <c r="M1357">
        <v>7</v>
      </c>
      <c r="N1357" t="s">
        <v>32</v>
      </c>
      <c r="O1357" t="s">
        <v>22</v>
      </c>
      <c r="P1357">
        <v>100</v>
      </c>
      <c r="Q1357">
        <v>30</v>
      </c>
      <c r="R1357">
        <v>9</v>
      </c>
      <c r="S1357">
        <v>0.22500000000000001</v>
      </c>
    </row>
    <row r="1358" spans="1:19" x14ac:dyDescent="0.25">
      <c r="A1358">
        <v>1042</v>
      </c>
      <c r="B1358">
        <v>1</v>
      </c>
      <c r="C1358" t="s">
        <v>28</v>
      </c>
      <c r="D1358">
        <v>4.57</v>
      </c>
      <c r="E1358">
        <v>1.1000000000000001</v>
      </c>
      <c r="F1358">
        <v>340</v>
      </c>
      <c r="G1358">
        <v>101</v>
      </c>
      <c r="H1358" t="s">
        <v>22</v>
      </c>
      <c r="I1358" t="s">
        <v>22</v>
      </c>
      <c r="J1358">
        <v>600</v>
      </c>
      <c r="K1358" t="s">
        <v>22</v>
      </c>
      <c r="L1358" t="s">
        <v>22</v>
      </c>
      <c r="M1358">
        <v>7</v>
      </c>
      <c r="N1358" t="s">
        <v>29</v>
      </c>
      <c r="O1358" t="s">
        <v>22</v>
      </c>
      <c r="P1358">
        <v>100</v>
      </c>
      <c r="Q1358">
        <v>30</v>
      </c>
      <c r="R1358">
        <v>9</v>
      </c>
      <c r="S1358">
        <v>0.34200000000000003</v>
      </c>
    </row>
    <row r="1359" spans="1:19" x14ac:dyDescent="0.25">
      <c r="A1359">
        <v>1042</v>
      </c>
      <c r="B1359">
        <v>1</v>
      </c>
      <c r="C1359" t="s">
        <v>35</v>
      </c>
      <c r="D1359">
        <v>5.18</v>
      </c>
      <c r="E1359">
        <v>0.13200000000000001</v>
      </c>
      <c r="F1359">
        <v>393</v>
      </c>
      <c r="G1359">
        <v>150</v>
      </c>
      <c r="H1359" t="s">
        <v>22</v>
      </c>
      <c r="I1359" t="s">
        <v>22</v>
      </c>
      <c r="J1359">
        <v>600</v>
      </c>
      <c r="K1359" t="s">
        <v>22</v>
      </c>
      <c r="L1359" t="s">
        <v>22</v>
      </c>
      <c r="M1359">
        <v>7</v>
      </c>
      <c r="N1359" t="s">
        <v>32</v>
      </c>
      <c r="O1359" t="s">
        <v>22</v>
      </c>
      <c r="P1359">
        <v>100</v>
      </c>
      <c r="Q1359">
        <v>30</v>
      </c>
      <c r="R1359">
        <v>9</v>
      </c>
      <c r="S1359">
        <v>0.253</v>
      </c>
    </row>
    <row r="1360" spans="1:19" x14ac:dyDescent="0.25">
      <c r="A1360">
        <v>1042</v>
      </c>
      <c r="B1360">
        <v>2</v>
      </c>
      <c r="C1360" t="s">
        <v>28</v>
      </c>
      <c r="D1360">
        <v>4.57</v>
      </c>
      <c r="E1360">
        <v>1.1000000000000001</v>
      </c>
      <c r="F1360">
        <v>340</v>
      </c>
      <c r="G1360">
        <v>101</v>
      </c>
      <c r="H1360" t="s">
        <v>22</v>
      </c>
      <c r="I1360" t="s">
        <v>22</v>
      </c>
      <c r="J1360">
        <f>J1359</f>
        <v>600</v>
      </c>
      <c r="K1360" t="s">
        <v>22</v>
      </c>
      <c r="L1360" t="s">
        <v>22</v>
      </c>
      <c r="M1360">
        <v>5</v>
      </c>
      <c r="N1360" t="s">
        <v>29</v>
      </c>
      <c r="O1360" t="s">
        <v>22</v>
      </c>
      <c r="P1360">
        <v>75</v>
      </c>
      <c r="Q1360">
        <v>30</v>
      </c>
      <c r="R1360">
        <f>R1359</f>
        <v>9</v>
      </c>
      <c r="S1360">
        <v>0.3483</v>
      </c>
    </row>
    <row r="1361" spans="1:19" x14ac:dyDescent="0.25">
      <c r="A1361">
        <v>1042</v>
      </c>
      <c r="B1361">
        <v>2</v>
      </c>
      <c r="C1361" t="s">
        <v>35</v>
      </c>
      <c r="D1361">
        <v>5.18</v>
      </c>
      <c r="E1361">
        <v>0.13200000000000001</v>
      </c>
      <c r="F1361">
        <v>393</v>
      </c>
      <c r="G1361">
        <v>150</v>
      </c>
      <c r="H1361" t="s">
        <v>22</v>
      </c>
      <c r="I1361" t="s">
        <v>22</v>
      </c>
      <c r="J1361">
        <f t="shared" ref="J1361:J1379" si="64">J1360</f>
        <v>600</v>
      </c>
      <c r="K1361" t="s">
        <v>22</v>
      </c>
      <c r="L1361" t="s">
        <v>22</v>
      </c>
      <c r="M1361">
        <v>5</v>
      </c>
      <c r="N1361" t="s">
        <v>32</v>
      </c>
      <c r="O1361" t="s">
        <v>22</v>
      </c>
      <c r="P1361">
        <v>75</v>
      </c>
      <c r="Q1361">
        <v>30</v>
      </c>
      <c r="R1361">
        <f t="shared" ref="R1361:R1379" si="65">R1360</f>
        <v>9</v>
      </c>
      <c r="S1361">
        <v>0.20580000000000001</v>
      </c>
    </row>
    <row r="1362" spans="1:19" x14ac:dyDescent="0.25">
      <c r="A1362">
        <v>1042</v>
      </c>
      <c r="B1362">
        <v>2</v>
      </c>
      <c r="C1362" t="s">
        <v>28</v>
      </c>
      <c r="D1362">
        <v>4.57</v>
      </c>
      <c r="E1362">
        <v>1.1000000000000001</v>
      </c>
      <c r="F1362">
        <v>340</v>
      </c>
      <c r="G1362">
        <v>101</v>
      </c>
      <c r="H1362" t="s">
        <v>22</v>
      </c>
      <c r="I1362" t="s">
        <v>22</v>
      </c>
      <c r="J1362">
        <f t="shared" si="64"/>
        <v>600</v>
      </c>
      <c r="K1362" t="s">
        <v>22</v>
      </c>
      <c r="L1362" t="s">
        <v>22</v>
      </c>
      <c r="M1362">
        <v>6</v>
      </c>
      <c r="N1362" t="s">
        <v>29</v>
      </c>
      <c r="O1362" t="s">
        <v>22</v>
      </c>
      <c r="P1362">
        <v>75</v>
      </c>
      <c r="Q1362">
        <v>30</v>
      </c>
      <c r="R1362">
        <f t="shared" si="65"/>
        <v>9</v>
      </c>
      <c r="S1362">
        <v>0.40229999999999999</v>
      </c>
    </row>
    <row r="1363" spans="1:19" x14ac:dyDescent="0.25">
      <c r="A1363">
        <v>1042</v>
      </c>
      <c r="B1363">
        <v>2</v>
      </c>
      <c r="C1363" t="s">
        <v>35</v>
      </c>
      <c r="D1363">
        <v>5.18</v>
      </c>
      <c r="E1363">
        <v>0.13200000000000001</v>
      </c>
      <c r="F1363">
        <v>393</v>
      </c>
      <c r="G1363">
        <v>150</v>
      </c>
      <c r="H1363" t="s">
        <v>22</v>
      </c>
      <c r="I1363" t="s">
        <v>22</v>
      </c>
      <c r="J1363">
        <f t="shared" si="64"/>
        <v>600</v>
      </c>
      <c r="K1363" t="s">
        <v>22</v>
      </c>
      <c r="L1363" t="s">
        <v>22</v>
      </c>
      <c r="M1363">
        <v>6</v>
      </c>
      <c r="N1363" t="s">
        <v>32</v>
      </c>
      <c r="O1363" t="s">
        <v>22</v>
      </c>
      <c r="P1363">
        <v>75</v>
      </c>
      <c r="Q1363">
        <v>30</v>
      </c>
      <c r="R1363">
        <f t="shared" si="65"/>
        <v>9</v>
      </c>
      <c r="S1363">
        <v>0.21060000000000001</v>
      </c>
    </row>
    <row r="1364" spans="1:19" x14ac:dyDescent="0.25">
      <c r="A1364">
        <v>1042</v>
      </c>
      <c r="B1364">
        <v>2</v>
      </c>
      <c r="C1364" t="s">
        <v>28</v>
      </c>
      <c r="D1364">
        <v>4.57</v>
      </c>
      <c r="E1364">
        <v>1.1000000000000001</v>
      </c>
      <c r="F1364">
        <v>340</v>
      </c>
      <c r="G1364">
        <v>101</v>
      </c>
      <c r="H1364" t="s">
        <v>22</v>
      </c>
      <c r="I1364" t="s">
        <v>22</v>
      </c>
      <c r="J1364">
        <f t="shared" si="64"/>
        <v>600</v>
      </c>
      <c r="K1364" t="s">
        <v>22</v>
      </c>
      <c r="L1364" t="s">
        <v>22</v>
      </c>
      <c r="M1364">
        <v>7</v>
      </c>
      <c r="N1364" t="s">
        <v>29</v>
      </c>
      <c r="O1364" t="s">
        <v>22</v>
      </c>
      <c r="P1364">
        <v>75</v>
      </c>
      <c r="Q1364">
        <v>30</v>
      </c>
      <c r="R1364">
        <f t="shared" si="65"/>
        <v>9</v>
      </c>
      <c r="S1364">
        <v>0.47199999999999998</v>
      </c>
    </row>
    <row r="1365" spans="1:19" x14ac:dyDescent="0.25">
      <c r="A1365">
        <v>1042</v>
      </c>
      <c r="B1365">
        <v>2</v>
      </c>
      <c r="C1365" t="s">
        <v>35</v>
      </c>
      <c r="D1365">
        <v>5.18</v>
      </c>
      <c r="E1365">
        <v>0.13200000000000001</v>
      </c>
      <c r="F1365">
        <v>393</v>
      </c>
      <c r="G1365">
        <v>150</v>
      </c>
      <c r="H1365" t="s">
        <v>22</v>
      </c>
      <c r="I1365" t="s">
        <v>22</v>
      </c>
      <c r="J1365">
        <f t="shared" si="64"/>
        <v>600</v>
      </c>
      <c r="K1365" t="s">
        <v>22</v>
      </c>
      <c r="L1365" t="s">
        <v>22</v>
      </c>
      <c r="M1365">
        <v>7</v>
      </c>
      <c r="N1365" t="s">
        <v>32</v>
      </c>
      <c r="O1365" t="s">
        <v>22</v>
      </c>
      <c r="P1365">
        <v>75</v>
      </c>
      <c r="Q1365">
        <v>30</v>
      </c>
      <c r="R1365">
        <f t="shared" si="65"/>
        <v>9</v>
      </c>
      <c r="S1365">
        <v>0.25359999999999999</v>
      </c>
    </row>
    <row r="1366" spans="1:19" x14ac:dyDescent="0.25">
      <c r="A1366">
        <v>1042</v>
      </c>
      <c r="B1366">
        <v>2</v>
      </c>
      <c r="C1366" t="s">
        <v>28</v>
      </c>
      <c r="D1366">
        <v>4.57</v>
      </c>
      <c r="E1366">
        <v>1.1000000000000001</v>
      </c>
      <c r="F1366">
        <v>340</v>
      </c>
      <c r="G1366">
        <v>101</v>
      </c>
      <c r="H1366" t="s">
        <v>22</v>
      </c>
      <c r="I1366" t="s">
        <v>22</v>
      </c>
      <c r="J1366">
        <f t="shared" si="64"/>
        <v>600</v>
      </c>
      <c r="K1366" t="s">
        <v>22</v>
      </c>
      <c r="L1366" t="s">
        <v>22</v>
      </c>
      <c r="M1366">
        <v>8</v>
      </c>
      <c r="N1366" t="s">
        <v>29</v>
      </c>
      <c r="O1366" t="s">
        <v>22</v>
      </c>
      <c r="P1366">
        <v>75</v>
      </c>
      <c r="Q1366">
        <v>30</v>
      </c>
      <c r="R1366">
        <f t="shared" si="65"/>
        <v>9</v>
      </c>
      <c r="S1366">
        <v>0.42030000000000001</v>
      </c>
    </row>
    <row r="1367" spans="1:19" x14ac:dyDescent="0.25">
      <c r="A1367">
        <v>1042</v>
      </c>
      <c r="B1367">
        <v>2</v>
      </c>
      <c r="C1367" t="s">
        <v>35</v>
      </c>
      <c r="D1367">
        <v>5.18</v>
      </c>
      <c r="E1367">
        <v>0.13200000000000001</v>
      </c>
      <c r="F1367">
        <v>393</v>
      </c>
      <c r="G1367">
        <v>150</v>
      </c>
      <c r="H1367" t="s">
        <v>22</v>
      </c>
      <c r="I1367" t="s">
        <v>22</v>
      </c>
      <c r="J1367">
        <f t="shared" si="64"/>
        <v>600</v>
      </c>
      <c r="K1367" t="s">
        <v>22</v>
      </c>
      <c r="L1367" t="s">
        <v>22</v>
      </c>
      <c r="M1367">
        <v>8</v>
      </c>
      <c r="N1367" t="s">
        <v>32</v>
      </c>
      <c r="O1367" t="s">
        <v>22</v>
      </c>
      <c r="P1367">
        <v>75</v>
      </c>
      <c r="Q1367">
        <v>30</v>
      </c>
      <c r="R1367">
        <f t="shared" si="65"/>
        <v>9</v>
      </c>
      <c r="S1367">
        <v>0.25750000000000001</v>
      </c>
    </row>
    <row r="1368" spans="1:19" x14ac:dyDescent="0.25">
      <c r="A1368">
        <v>1042</v>
      </c>
      <c r="B1368">
        <v>2</v>
      </c>
      <c r="C1368" t="s">
        <v>28</v>
      </c>
      <c r="D1368">
        <v>4.57</v>
      </c>
      <c r="E1368">
        <v>1.1000000000000001</v>
      </c>
      <c r="F1368">
        <v>340</v>
      </c>
      <c r="G1368">
        <v>101</v>
      </c>
      <c r="H1368" t="s">
        <v>22</v>
      </c>
      <c r="I1368" t="s">
        <v>22</v>
      </c>
      <c r="J1368">
        <f t="shared" si="64"/>
        <v>600</v>
      </c>
      <c r="K1368" t="s">
        <v>22</v>
      </c>
      <c r="L1368" t="s">
        <v>22</v>
      </c>
      <c r="M1368">
        <v>9</v>
      </c>
      <c r="N1368" t="s">
        <v>29</v>
      </c>
      <c r="O1368" t="s">
        <v>22</v>
      </c>
      <c r="P1368">
        <v>75</v>
      </c>
      <c r="Q1368">
        <v>30</v>
      </c>
      <c r="R1368">
        <f t="shared" si="65"/>
        <v>9</v>
      </c>
      <c r="S1368">
        <v>0.46100000000000002</v>
      </c>
    </row>
    <row r="1369" spans="1:19" x14ac:dyDescent="0.25">
      <c r="A1369">
        <v>1042</v>
      </c>
      <c r="B1369">
        <v>2</v>
      </c>
      <c r="C1369" t="s">
        <v>35</v>
      </c>
      <c r="D1369">
        <v>5.18</v>
      </c>
      <c r="E1369">
        <v>0.13200000000000001</v>
      </c>
      <c r="F1369">
        <v>393</v>
      </c>
      <c r="G1369">
        <v>150</v>
      </c>
      <c r="H1369" t="s">
        <v>22</v>
      </c>
      <c r="I1369" t="s">
        <v>22</v>
      </c>
      <c r="J1369">
        <f t="shared" si="64"/>
        <v>600</v>
      </c>
      <c r="K1369" t="s">
        <v>22</v>
      </c>
      <c r="L1369" t="s">
        <v>22</v>
      </c>
      <c r="M1369">
        <v>9</v>
      </c>
      <c r="N1369" t="s">
        <v>32</v>
      </c>
      <c r="O1369" t="s">
        <v>22</v>
      </c>
      <c r="P1369">
        <v>75</v>
      </c>
      <c r="Q1369">
        <v>30</v>
      </c>
      <c r="R1369">
        <f t="shared" si="65"/>
        <v>9</v>
      </c>
      <c r="S1369">
        <v>0.28570000000000001</v>
      </c>
    </row>
    <row r="1370" spans="1:19" x14ac:dyDescent="0.25">
      <c r="A1370">
        <v>1042</v>
      </c>
      <c r="B1370">
        <v>2</v>
      </c>
      <c r="C1370" t="s">
        <v>28</v>
      </c>
      <c r="D1370">
        <v>4.57</v>
      </c>
      <c r="E1370">
        <v>1.1000000000000001</v>
      </c>
      <c r="F1370">
        <v>340</v>
      </c>
      <c r="G1370">
        <v>101</v>
      </c>
      <c r="H1370" t="s">
        <v>22</v>
      </c>
      <c r="I1370" t="s">
        <v>22</v>
      </c>
      <c r="J1370">
        <f t="shared" si="64"/>
        <v>600</v>
      </c>
      <c r="K1370" t="s">
        <v>22</v>
      </c>
      <c r="L1370" t="s">
        <v>22</v>
      </c>
      <c r="M1370">
        <v>5</v>
      </c>
      <c r="N1370" t="s">
        <v>29</v>
      </c>
      <c r="O1370" t="s">
        <v>22</v>
      </c>
      <c r="P1370">
        <v>75</v>
      </c>
      <c r="Q1370">
        <v>30</v>
      </c>
      <c r="R1370">
        <f t="shared" si="65"/>
        <v>9</v>
      </c>
      <c r="S1370">
        <v>0.12479999999999999</v>
      </c>
    </row>
    <row r="1371" spans="1:19" x14ac:dyDescent="0.25">
      <c r="A1371">
        <v>1042</v>
      </c>
      <c r="B1371">
        <v>2</v>
      </c>
      <c r="C1371" t="s">
        <v>35</v>
      </c>
      <c r="D1371">
        <v>5.18</v>
      </c>
      <c r="E1371">
        <v>0.13200000000000001</v>
      </c>
      <c r="F1371">
        <v>393</v>
      </c>
      <c r="G1371">
        <v>150</v>
      </c>
      <c r="H1371" t="s">
        <v>22</v>
      </c>
      <c r="I1371" t="s">
        <v>22</v>
      </c>
      <c r="J1371">
        <f t="shared" si="64"/>
        <v>600</v>
      </c>
      <c r="K1371" t="s">
        <v>22</v>
      </c>
      <c r="L1371" t="s">
        <v>22</v>
      </c>
      <c r="M1371">
        <v>5</v>
      </c>
      <c r="N1371" t="s">
        <v>32</v>
      </c>
      <c r="O1371" t="s">
        <v>22</v>
      </c>
      <c r="P1371">
        <v>75</v>
      </c>
      <c r="Q1371">
        <v>30</v>
      </c>
      <c r="R1371">
        <f t="shared" si="65"/>
        <v>9</v>
      </c>
      <c r="S1371">
        <v>0.2732</v>
      </c>
    </row>
    <row r="1372" spans="1:19" x14ac:dyDescent="0.25">
      <c r="A1372">
        <v>1042</v>
      </c>
      <c r="B1372">
        <v>2</v>
      </c>
      <c r="C1372" t="s">
        <v>28</v>
      </c>
      <c r="D1372">
        <v>4.57</v>
      </c>
      <c r="E1372">
        <v>1.1000000000000001</v>
      </c>
      <c r="F1372">
        <v>340</v>
      </c>
      <c r="G1372">
        <v>101</v>
      </c>
      <c r="H1372" t="s">
        <v>22</v>
      </c>
      <c r="I1372" t="s">
        <v>22</v>
      </c>
      <c r="J1372">
        <f t="shared" si="64"/>
        <v>600</v>
      </c>
      <c r="K1372" t="s">
        <v>22</v>
      </c>
      <c r="L1372" t="s">
        <v>22</v>
      </c>
      <c r="M1372">
        <v>6</v>
      </c>
      <c r="N1372" t="s">
        <v>29</v>
      </c>
      <c r="O1372" t="s">
        <v>22</v>
      </c>
      <c r="P1372">
        <v>75</v>
      </c>
      <c r="Q1372">
        <v>30</v>
      </c>
      <c r="R1372">
        <f t="shared" si="65"/>
        <v>9</v>
      </c>
      <c r="S1372">
        <v>0.27079999999999999</v>
      </c>
    </row>
    <row r="1373" spans="1:19" x14ac:dyDescent="0.25">
      <c r="A1373">
        <v>1042</v>
      </c>
      <c r="B1373">
        <v>2</v>
      </c>
      <c r="C1373" t="s">
        <v>35</v>
      </c>
      <c r="D1373">
        <v>5.18</v>
      </c>
      <c r="E1373">
        <v>0.13200000000000001</v>
      </c>
      <c r="F1373">
        <v>393</v>
      </c>
      <c r="G1373">
        <v>150</v>
      </c>
      <c r="H1373" t="s">
        <v>22</v>
      </c>
      <c r="I1373" t="s">
        <v>22</v>
      </c>
      <c r="J1373">
        <f t="shared" si="64"/>
        <v>600</v>
      </c>
      <c r="K1373" t="s">
        <v>22</v>
      </c>
      <c r="L1373" t="s">
        <v>22</v>
      </c>
      <c r="M1373">
        <v>6</v>
      </c>
      <c r="N1373" t="s">
        <v>32</v>
      </c>
      <c r="O1373" t="s">
        <v>22</v>
      </c>
      <c r="P1373">
        <v>75</v>
      </c>
      <c r="Q1373">
        <v>30</v>
      </c>
      <c r="R1373">
        <f t="shared" si="65"/>
        <v>9</v>
      </c>
      <c r="S1373">
        <v>0.21579999999999999</v>
      </c>
    </row>
    <row r="1374" spans="1:19" x14ac:dyDescent="0.25">
      <c r="A1374">
        <v>1042</v>
      </c>
      <c r="B1374">
        <v>2</v>
      </c>
      <c r="C1374" t="s">
        <v>28</v>
      </c>
      <c r="D1374">
        <v>4.57</v>
      </c>
      <c r="E1374">
        <v>1.1000000000000001</v>
      </c>
      <c r="F1374">
        <v>340</v>
      </c>
      <c r="G1374">
        <v>101</v>
      </c>
      <c r="H1374" t="s">
        <v>22</v>
      </c>
      <c r="I1374" t="s">
        <v>22</v>
      </c>
      <c r="J1374">
        <f t="shared" si="64"/>
        <v>600</v>
      </c>
      <c r="K1374" t="s">
        <v>22</v>
      </c>
      <c r="L1374" t="s">
        <v>22</v>
      </c>
      <c r="M1374">
        <v>7</v>
      </c>
      <c r="N1374" t="s">
        <v>29</v>
      </c>
      <c r="O1374" t="s">
        <v>22</v>
      </c>
      <c r="P1374">
        <v>75</v>
      </c>
      <c r="Q1374">
        <v>30</v>
      </c>
      <c r="R1374">
        <f t="shared" si="65"/>
        <v>9</v>
      </c>
      <c r="S1374">
        <v>0.33679999999999999</v>
      </c>
    </row>
    <row r="1375" spans="1:19" x14ac:dyDescent="0.25">
      <c r="A1375">
        <v>1042</v>
      </c>
      <c r="B1375">
        <v>2</v>
      </c>
      <c r="C1375" t="s">
        <v>35</v>
      </c>
      <c r="D1375">
        <v>5.18</v>
      </c>
      <c r="E1375">
        <v>0.13200000000000001</v>
      </c>
      <c r="F1375">
        <v>393</v>
      </c>
      <c r="G1375">
        <v>150</v>
      </c>
      <c r="H1375" t="s">
        <v>22</v>
      </c>
      <c r="I1375" t="s">
        <v>22</v>
      </c>
      <c r="J1375">
        <f t="shared" si="64"/>
        <v>600</v>
      </c>
      <c r="K1375" t="s">
        <v>22</v>
      </c>
      <c r="L1375" t="s">
        <v>22</v>
      </c>
      <c r="M1375">
        <v>7</v>
      </c>
      <c r="N1375" t="s">
        <v>32</v>
      </c>
      <c r="O1375" t="s">
        <v>22</v>
      </c>
      <c r="P1375">
        <v>75</v>
      </c>
      <c r="Q1375">
        <v>30</v>
      </c>
      <c r="R1375">
        <f t="shared" si="65"/>
        <v>9</v>
      </c>
      <c r="S1375">
        <v>0.23630000000000001</v>
      </c>
    </row>
    <row r="1376" spans="1:19" x14ac:dyDescent="0.25">
      <c r="A1376">
        <v>1042</v>
      </c>
      <c r="B1376">
        <v>2</v>
      </c>
      <c r="C1376" t="s">
        <v>28</v>
      </c>
      <c r="D1376">
        <v>4.57</v>
      </c>
      <c r="E1376">
        <v>1.1000000000000001</v>
      </c>
      <c r="F1376">
        <v>340</v>
      </c>
      <c r="G1376">
        <v>101</v>
      </c>
      <c r="H1376" t="s">
        <v>22</v>
      </c>
      <c r="I1376" t="s">
        <v>22</v>
      </c>
      <c r="J1376">
        <f t="shared" si="64"/>
        <v>600</v>
      </c>
      <c r="K1376" t="s">
        <v>22</v>
      </c>
      <c r="L1376" t="s">
        <v>22</v>
      </c>
      <c r="M1376">
        <v>8</v>
      </c>
      <c r="N1376" t="s">
        <v>29</v>
      </c>
      <c r="O1376" t="s">
        <v>22</v>
      </c>
      <c r="P1376">
        <v>75</v>
      </c>
      <c r="Q1376">
        <v>30</v>
      </c>
      <c r="R1376">
        <f t="shared" si="65"/>
        <v>9</v>
      </c>
      <c r="S1376">
        <v>0.24490000000000001</v>
      </c>
    </row>
    <row r="1377" spans="1:19" x14ac:dyDescent="0.25">
      <c r="A1377">
        <v>1042</v>
      </c>
      <c r="B1377">
        <v>2</v>
      </c>
      <c r="C1377" t="s">
        <v>35</v>
      </c>
      <c r="D1377">
        <v>5.18</v>
      </c>
      <c r="E1377">
        <v>0.13200000000000001</v>
      </c>
      <c r="F1377">
        <v>393</v>
      </c>
      <c r="G1377">
        <v>150</v>
      </c>
      <c r="H1377" t="s">
        <v>22</v>
      </c>
      <c r="I1377" t="s">
        <v>22</v>
      </c>
      <c r="J1377">
        <f t="shared" si="64"/>
        <v>600</v>
      </c>
      <c r="K1377" t="s">
        <v>22</v>
      </c>
      <c r="L1377" t="s">
        <v>22</v>
      </c>
      <c r="M1377">
        <v>8</v>
      </c>
      <c r="N1377" t="s">
        <v>32</v>
      </c>
      <c r="O1377" t="s">
        <v>22</v>
      </c>
      <c r="P1377">
        <v>75</v>
      </c>
      <c r="Q1377">
        <v>30</v>
      </c>
      <c r="R1377">
        <f t="shared" si="65"/>
        <v>9</v>
      </c>
      <c r="S1377">
        <v>0.14910000000000001</v>
      </c>
    </row>
    <row r="1378" spans="1:19" x14ac:dyDescent="0.25">
      <c r="A1378">
        <v>1042</v>
      </c>
      <c r="B1378">
        <v>2</v>
      </c>
      <c r="C1378" t="s">
        <v>28</v>
      </c>
      <c r="D1378">
        <v>4.57</v>
      </c>
      <c r="E1378">
        <v>1.1000000000000001</v>
      </c>
      <c r="F1378">
        <v>340</v>
      </c>
      <c r="G1378">
        <v>101</v>
      </c>
      <c r="H1378" t="s">
        <v>22</v>
      </c>
      <c r="I1378" t="s">
        <v>22</v>
      </c>
      <c r="J1378">
        <f t="shared" si="64"/>
        <v>600</v>
      </c>
      <c r="K1378" t="s">
        <v>22</v>
      </c>
      <c r="L1378" t="s">
        <v>22</v>
      </c>
      <c r="M1378">
        <v>9</v>
      </c>
      <c r="N1378" t="s">
        <v>29</v>
      </c>
      <c r="O1378" t="s">
        <v>22</v>
      </c>
      <c r="P1378">
        <v>75</v>
      </c>
      <c r="Q1378">
        <v>30</v>
      </c>
      <c r="R1378">
        <f t="shared" si="65"/>
        <v>9</v>
      </c>
      <c r="S1378">
        <v>0.35399999999999998</v>
      </c>
    </row>
    <row r="1379" spans="1:19" x14ac:dyDescent="0.25">
      <c r="A1379">
        <v>1042</v>
      </c>
      <c r="B1379">
        <v>2</v>
      </c>
      <c r="C1379" t="s">
        <v>35</v>
      </c>
      <c r="D1379">
        <v>5.18</v>
      </c>
      <c r="E1379">
        <v>0.13200000000000001</v>
      </c>
      <c r="F1379">
        <v>393</v>
      </c>
      <c r="G1379">
        <v>150</v>
      </c>
      <c r="H1379" t="s">
        <v>22</v>
      </c>
      <c r="I1379" t="s">
        <v>22</v>
      </c>
      <c r="J1379">
        <f t="shared" si="64"/>
        <v>600</v>
      </c>
      <c r="K1379" t="s">
        <v>22</v>
      </c>
      <c r="L1379" t="s">
        <v>22</v>
      </c>
      <c r="M1379">
        <v>9</v>
      </c>
      <c r="N1379" t="s">
        <v>32</v>
      </c>
      <c r="O1379" t="s">
        <v>22</v>
      </c>
      <c r="P1379">
        <v>75</v>
      </c>
      <c r="Q1379">
        <v>30</v>
      </c>
      <c r="R1379">
        <f t="shared" si="65"/>
        <v>9</v>
      </c>
      <c r="S1379">
        <v>0.23150000000000001</v>
      </c>
    </row>
    <row r="1380" spans="1:19" x14ac:dyDescent="0.25">
      <c r="A1380">
        <v>1043</v>
      </c>
      <c r="B1380">
        <v>1</v>
      </c>
      <c r="C1380" t="s">
        <v>19</v>
      </c>
      <c r="D1380">
        <v>4.95</v>
      </c>
      <c r="E1380">
        <v>31.7</v>
      </c>
      <c r="F1380">
        <v>170</v>
      </c>
      <c r="G1380">
        <v>387.6</v>
      </c>
      <c r="H1380" t="s">
        <v>24</v>
      </c>
      <c r="I1380">
        <v>1</v>
      </c>
      <c r="J1380">
        <v>10</v>
      </c>
      <c r="K1380" t="s">
        <v>22</v>
      </c>
      <c r="L1380">
        <v>18</v>
      </c>
      <c r="M1380">
        <v>7.5</v>
      </c>
      <c r="N1380" t="s">
        <v>21</v>
      </c>
      <c r="O1380">
        <v>22.5</v>
      </c>
      <c r="P1380">
        <v>10.48</v>
      </c>
      <c r="Q1380">
        <v>25</v>
      </c>
      <c r="R1380">
        <v>90</v>
      </c>
      <c r="S1380">
        <v>0.27410000000000001</v>
      </c>
    </row>
    <row r="1381" spans="1:19" x14ac:dyDescent="0.25">
      <c r="A1381">
        <v>1043</v>
      </c>
      <c r="B1381">
        <v>1</v>
      </c>
      <c r="C1381" t="s">
        <v>19</v>
      </c>
      <c r="D1381">
        <v>4.95</v>
      </c>
      <c r="E1381">
        <v>31.7</v>
      </c>
      <c r="F1381">
        <f>F1380</f>
        <v>170</v>
      </c>
      <c r="G1381">
        <v>387.6</v>
      </c>
      <c r="H1381" t="s">
        <v>24</v>
      </c>
      <c r="I1381">
        <v>1</v>
      </c>
      <c r="J1381">
        <v>10</v>
      </c>
      <c r="K1381" t="s">
        <v>22</v>
      </c>
      <c r="L1381">
        <v>18</v>
      </c>
      <c r="M1381">
        <v>7.5</v>
      </c>
      <c r="N1381" t="s">
        <v>21</v>
      </c>
      <c r="O1381">
        <v>22.5</v>
      </c>
      <c r="P1381">
        <v>10.48</v>
      </c>
      <c r="Q1381">
        <v>25</v>
      </c>
      <c r="R1381">
        <v>180</v>
      </c>
      <c r="S1381">
        <v>0.3473</v>
      </c>
    </row>
    <row r="1382" spans="1:19" x14ac:dyDescent="0.25">
      <c r="A1382">
        <v>1044</v>
      </c>
      <c r="B1382">
        <v>1</v>
      </c>
      <c r="C1382" t="s">
        <v>26</v>
      </c>
      <c r="D1382">
        <v>3.3</v>
      </c>
      <c r="E1382">
        <v>31.7</v>
      </c>
      <c r="F1382">
        <v>218</v>
      </c>
      <c r="G1382">
        <v>80.2</v>
      </c>
      <c r="H1382" t="s">
        <v>24</v>
      </c>
      <c r="I1382" t="s">
        <v>22</v>
      </c>
      <c r="J1382" t="s">
        <v>22</v>
      </c>
      <c r="K1382">
        <v>0.21299999999999999</v>
      </c>
      <c r="L1382">
        <v>58</v>
      </c>
      <c r="M1382">
        <v>7.96</v>
      </c>
      <c r="N1382" t="s">
        <v>27</v>
      </c>
      <c r="O1382">
        <v>60</v>
      </c>
      <c r="P1382">
        <v>1.43</v>
      </c>
      <c r="Q1382">
        <v>25</v>
      </c>
      <c r="R1382">
        <v>7</v>
      </c>
      <c r="S1382">
        <v>0.84140000000000004</v>
      </c>
    </row>
    <row r="1383" spans="1:19" x14ac:dyDescent="0.25">
      <c r="A1383">
        <v>1044</v>
      </c>
      <c r="B1383">
        <v>1</v>
      </c>
      <c r="C1383" t="s">
        <v>47</v>
      </c>
      <c r="D1383">
        <v>3.92</v>
      </c>
      <c r="E1383">
        <v>3.93</v>
      </c>
      <c r="F1383">
        <v>277</v>
      </c>
      <c r="G1383">
        <v>95</v>
      </c>
      <c r="H1383" t="str">
        <f>H1382</f>
        <v>砂土</v>
      </c>
      <c r="I1383" t="s">
        <v>22</v>
      </c>
      <c r="J1383" t="s">
        <v>22</v>
      </c>
      <c r="K1383">
        <v>0.21299999999999999</v>
      </c>
      <c r="L1383">
        <v>58</v>
      </c>
      <c r="M1383">
        <f>M1382</f>
        <v>7.96</v>
      </c>
      <c r="N1383" t="s">
        <v>29</v>
      </c>
      <c r="O1383">
        <v>60</v>
      </c>
      <c r="P1383">
        <v>2.98</v>
      </c>
      <c r="Q1383">
        <f>Q1382</f>
        <v>25</v>
      </c>
      <c r="R1383">
        <f>R1382</f>
        <v>7</v>
      </c>
      <c r="S1383">
        <v>0.73</v>
      </c>
    </row>
    <row r="1384" spans="1:19" x14ac:dyDescent="0.25">
      <c r="A1384">
        <v>1044</v>
      </c>
      <c r="B1384">
        <v>1</v>
      </c>
      <c r="C1384" t="s">
        <v>47</v>
      </c>
      <c r="D1384">
        <v>3.92</v>
      </c>
      <c r="E1384">
        <v>3.93</v>
      </c>
      <c r="F1384">
        <v>300</v>
      </c>
      <c r="G1384">
        <v>100</v>
      </c>
      <c r="H1384" t="str">
        <f t="shared" ref="H1384:H1447" si="66">H1383</f>
        <v>砂土</v>
      </c>
      <c r="I1384" t="s">
        <v>22</v>
      </c>
      <c r="J1384" t="s">
        <v>22</v>
      </c>
      <c r="K1384">
        <v>0.21299999999999999</v>
      </c>
      <c r="L1384">
        <v>58</v>
      </c>
      <c r="M1384">
        <f t="shared" ref="M1384:M1447" si="67">M1383</f>
        <v>7.96</v>
      </c>
      <c r="N1384" t="s">
        <v>29</v>
      </c>
      <c r="O1384">
        <v>60</v>
      </c>
      <c r="P1384">
        <v>16.940000000000001</v>
      </c>
      <c r="Q1384">
        <f t="shared" ref="Q1384:Q1441" si="68">Q1383</f>
        <v>25</v>
      </c>
      <c r="R1384">
        <f t="shared" ref="R1384:R1441" si="69">R1383</f>
        <v>7</v>
      </c>
      <c r="S1384">
        <v>0.76190000000000002</v>
      </c>
    </row>
    <row r="1385" spans="1:19" x14ac:dyDescent="0.25">
      <c r="A1385">
        <v>1044</v>
      </c>
      <c r="B1385">
        <v>1</v>
      </c>
      <c r="C1385" t="s">
        <v>34</v>
      </c>
      <c r="D1385">
        <v>4.18</v>
      </c>
      <c r="E1385">
        <v>1.68</v>
      </c>
      <c r="F1385">
        <v>295</v>
      </c>
      <c r="G1385">
        <v>116</v>
      </c>
      <c r="H1385" t="str">
        <f t="shared" si="66"/>
        <v>砂土</v>
      </c>
      <c r="I1385" t="s">
        <v>22</v>
      </c>
      <c r="J1385" t="s">
        <v>22</v>
      </c>
      <c r="K1385">
        <v>0.21299999999999999</v>
      </c>
      <c r="L1385">
        <v>58</v>
      </c>
      <c r="M1385">
        <f t="shared" si="67"/>
        <v>7.96</v>
      </c>
      <c r="N1385" t="s">
        <v>29</v>
      </c>
      <c r="O1385">
        <v>60</v>
      </c>
      <c r="P1385">
        <v>2.71</v>
      </c>
      <c r="Q1385">
        <f t="shared" si="68"/>
        <v>25</v>
      </c>
      <c r="R1385">
        <f t="shared" si="69"/>
        <v>7</v>
      </c>
      <c r="S1385">
        <v>0.81069999999999998</v>
      </c>
    </row>
    <row r="1386" spans="1:19" x14ac:dyDescent="0.25">
      <c r="A1386">
        <v>1044</v>
      </c>
      <c r="B1386">
        <v>1</v>
      </c>
      <c r="C1386" t="s">
        <v>28</v>
      </c>
      <c r="D1386">
        <v>4.57</v>
      </c>
      <c r="E1386">
        <v>1.1000000000000001</v>
      </c>
      <c r="F1386">
        <v>340</v>
      </c>
      <c r="G1386">
        <v>101</v>
      </c>
      <c r="H1386" t="str">
        <f t="shared" si="66"/>
        <v>砂土</v>
      </c>
      <c r="I1386" t="s">
        <v>22</v>
      </c>
      <c r="J1386" t="s">
        <v>22</v>
      </c>
      <c r="K1386">
        <v>0.21299999999999999</v>
      </c>
      <c r="L1386">
        <v>58</v>
      </c>
      <c r="M1386">
        <f t="shared" si="67"/>
        <v>7.96</v>
      </c>
      <c r="N1386" t="s">
        <v>29</v>
      </c>
      <c r="O1386">
        <v>60</v>
      </c>
      <c r="P1386">
        <v>6.75</v>
      </c>
      <c r="Q1386">
        <f t="shared" si="68"/>
        <v>25</v>
      </c>
      <c r="R1386">
        <f t="shared" si="69"/>
        <v>7</v>
      </c>
      <c r="S1386">
        <v>0.77529999999999999</v>
      </c>
    </row>
    <row r="1387" spans="1:19" x14ac:dyDescent="0.25">
      <c r="A1387">
        <v>1044</v>
      </c>
      <c r="B1387">
        <v>1</v>
      </c>
      <c r="C1387" t="s">
        <v>30</v>
      </c>
      <c r="D1387">
        <v>4.88</v>
      </c>
      <c r="E1387">
        <v>7.2999999999999995E-2</v>
      </c>
      <c r="F1387">
        <v>340</v>
      </c>
      <c r="G1387">
        <v>216</v>
      </c>
      <c r="H1387" t="str">
        <f t="shared" si="66"/>
        <v>砂土</v>
      </c>
      <c r="I1387" t="s">
        <v>22</v>
      </c>
      <c r="J1387" t="s">
        <v>22</v>
      </c>
      <c r="K1387">
        <v>0.21299999999999999</v>
      </c>
      <c r="L1387">
        <v>58</v>
      </c>
      <c r="M1387">
        <f t="shared" si="67"/>
        <v>7.96</v>
      </c>
      <c r="N1387" t="s">
        <v>29</v>
      </c>
      <c r="O1387">
        <v>60</v>
      </c>
      <c r="P1387">
        <v>0.97</v>
      </c>
      <c r="Q1387">
        <f t="shared" si="68"/>
        <v>25</v>
      </c>
      <c r="R1387">
        <f t="shared" si="69"/>
        <v>7</v>
      </c>
      <c r="S1387">
        <v>0.74750000000000005</v>
      </c>
    </row>
    <row r="1388" spans="1:19" x14ac:dyDescent="0.25">
      <c r="A1388">
        <v>1044</v>
      </c>
      <c r="B1388">
        <v>1</v>
      </c>
      <c r="C1388" t="s">
        <v>35</v>
      </c>
      <c r="D1388">
        <v>5.18</v>
      </c>
      <c r="E1388">
        <v>0.13200000000000001</v>
      </c>
      <c r="F1388">
        <v>393</v>
      </c>
      <c r="G1388">
        <v>150</v>
      </c>
      <c r="H1388" t="str">
        <f t="shared" si="66"/>
        <v>砂土</v>
      </c>
      <c r="I1388" t="s">
        <v>22</v>
      </c>
      <c r="J1388" t="s">
        <v>22</v>
      </c>
      <c r="K1388">
        <v>0.21299999999999999</v>
      </c>
      <c r="L1388">
        <v>58</v>
      </c>
      <c r="M1388">
        <f t="shared" si="67"/>
        <v>7.96</v>
      </c>
      <c r="N1388" t="s">
        <v>32</v>
      </c>
      <c r="O1388">
        <v>60</v>
      </c>
      <c r="P1388">
        <v>10.38</v>
      </c>
      <c r="Q1388">
        <f t="shared" si="68"/>
        <v>25</v>
      </c>
      <c r="R1388">
        <f t="shared" si="69"/>
        <v>7</v>
      </c>
      <c r="S1388">
        <v>0.7329</v>
      </c>
    </row>
    <row r="1389" spans="1:19" x14ac:dyDescent="0.25">
      <c r="A1389">
        <v>1044</v>
      </c>
      <c r="B1389">
        <v>1</v>
      </c>
      <c r="C1389" t="s">
        <v>31</v>
      </c>
      <c r="D1389">
        <v>5.22</v>
      </c>
      <c r="E1389">
        <v>0.26</v>
      </c>
      <c r="F1389">
        <v>375</v>
      </c>
      <c r="G1389">
        <v>111</v>
      </c>
      <c r="H1389" t="str">
        <f t="shared" si="66"/>
        <v>砂土</v>
      </c>
      <c r="I1389" t="s">
        <v>22</v>
      </c>
      <c r="J1389" t="s">
        <v>22</v>
      </c>
      <c r="K1389">
        <v>0.21299999999999999</v>
      </c>
      <c r="L1389">
        <v>58</v>
      </c>
      <c r="M1389">
        <f t="shared" si="67"/>
        <v>7.96</v>
      </c>
      <c r="N1389" t="s">
        <v>32</v>
      </c>
      <c r="O1389">
        <v>60</v>
      </c>
      <c r="P1389">
        <v>9.3000000000000007</v>
      </c>
      <c r="Q1389">
        <f t="shared" si="68"/>
        <v>25</v>
      </c>
      <c r="R1389">
        <f t="shared" si="69"/>
        <v>7</v>
      </c>
      <c r="S1389">
        <v>0.72470000000000001</v>
      </c>
    </row>
    <row r="1390" spans="1:19" x14ac:dyDescent="0.25">
      <c r="A1390">
        <v>1044</v>
      </c>
      <c r="B1390">
        <v>1</v>
      </c>
      <c r="C1390" t="s">
        <v>36</v>
      </c>
      <c r="D1390">
        <v>5.91</v>
      </c>
      <c r="E1390">
        <v>1.0999999999999999E-2</v>
      </c>
      <c r="F1390">
        <v>350</v>
      </c>
      <c r="G1390">
        <v>150</v>
      </c>
      <c r="H1390" t="str">
        <f t="shared" si="66"/>
        <v>砂土</v>
      </c>
      <c r="I1390" t="s">
        <v>22</v>
      </c>
      <c r="J1390" t="s">
        <v>22</v>
      </c>
      <c r="K1390">
        <v>0.21299999999999999</v>
      </c>
      <c r="L1390">
        <v>58</v>
      </c>
      <c r="M1390">
        <f t="shared" si="67"/>
        <v>7.96</v>
      </c>
      <c r="N1390" t="s">
        <v>32</v>
      </c>
      <c r="O1390">
        <v>60</v>
      </c>
      <c r="P1390">
        <v>6.28</v>
      </c>
      <c r="Q1390">
        <f t="shared" si="68"/>
        <v>25</v>
      </c>
      <c r="R1390">
        <f t="shared" si="69"/>
        <v>7</v>
      </c>
      <c r="S1390">
        <v>0.63690000000000002</v>
      </c>
    </row>
    <row r="1391" spans="1:19" x14ac:dyDescent="0.25">
      <c r="A1391">
        <v>1044</v>
      </c>
      <c r="B1391">
        <v>1</v>
      </c>
      <c r="C1391" t="s">
        <v>33</v>
      </c>
      <c r="D1391">
        <v>5.61</v>
      </c>
      <c r="E1391">
        <v>2E-3</v>
      </c>
      <c r="F1391">
        <v>350</v>
      </c>
      <c r="G1391">
        <v>255</v>
      </c>
      <c r="H1391" t="str">
        <f t="shared" si="66"/>
        <v>砂土</v>
      </c>
      <c r="I1391" t="s">
        <v>22</v>
      </c>
      <c r="J1391" t="s">
        <v>22</v>
      </c>
      <c r="K1391">
        <v>0.21299999999999999</v>
      </c>
      <c r="L1391">
        <v>58</v>
      </c>
      <c r="M1391">
        <f t="shared" si="67"/>
        <v>7.96</v>
      </c>
      <c r="N1391" t="s">
        <v>32</v>
      </c>
      <c r="O1391">
        <v>60</v>
      </c>
      <c r="P1391">
        <v>9.15</v>
      </c>
      <c r="Q1391">
        <f t="shared" si="68"/>
        <v>25</v>
      </c>
      <c r="R1391">
        <f t="shared" si="69"/>
        <v>7</v>
      </c>
      <c r="S1391">
        <v>0.62870000000000004</v>
      </c>
    </row>
    <row r="1392" spans="1:19" x14ac:dyDescent="0.25">
      <c r="A1392">
        <v>1044</v>
      </c>
      <c r="B1392">
        <v>1</v>
      </c>
      <c r="C1392" t="s">
        <v>37</v>
      </c>
      <c r="D1392">
        <v>6.04</v>
      </c>
      <c r="E1392">
        <v>1.5E-3</v>
      </c>
      <c r="F1392">
        <v>480</v>
      </c>
      <c r="G1392">
        <v>169</v>
      </c>
      <c r="H1392" t="str">
        <f t="shared" si="66"/>
        <v>砂土</v>
      </c>
      <c r="I1392" t="s">
        <v>22</v>
      </c>
      <c r="J1392" t="s">
        <v>22</v>
      </c>
      <c r="K1392">
        <v>0.21299999999999999</v>
      </c>
      <c r="L1392">
        <v>58</v>
      </c>
      <c r="M1392">
        <f t="shared" si="67"/>
        <v>7.96</v>
      </c>
      <c r="N1392" t="s">
        <v>38</v>
      </c>
      <c r="O1392">
        <v>60</v>
      </c>
      <c r="P1392">
        <v>27.65</v>
      </c>
      <c r="Q1392">
        <f t="shared" si="68"/>
        <v>25</v>
      </c>
      <c r="R1392">
        <f t="shared" si="69"/>
        <v>7</v>
      </c>
      <c r="S1392">
        <v>0.66159999999999997</v>
      </c>
    </row>
    <row r="1393" spans="1:19" x14ac:dyDescent="0.25">
      <c r="A1393">
        <v>1044</v>
      </c>
      <c r="B1393">
        <v>1</v>
      </c>
      <c r="C1393" t="s">
        <v>39</v>
      </c>
      <c r="D1393">
        <v>6.34</v>
      </c>
      <c r="E1393">
        <v>8.0000000000000004E-4</v>
      </c>
      <c r="F1393">
        <v>400</v>
      </c>
      <c r="G1393">
        <v>150</v>
      </c>
      <c r="H1393" t="str">
        <f t="shared" si="66"/>
        <v>砂土</v>
      </c>
      <c r="I1393" t="s">
        <v>22</v>
      </c>
      <c r="J1393" t="s">
        <v>22</v>
      </c>
      <c r="K1393">
        <v>0.21299999999999999</v>
      </c>
      <c r="L1393">
        <v>58</v>
      </c>
      <c r="M1393">
        <f t="shared" si="67"/>
        <v>7.96</v>
      </c>
      <c r="N1393" t="s">
        <v>38</v>
      </c>
      <c r="O1393">
        <v>60</v>
      </c>
      <c r="P1393">
        <v>10.210000000000001</v>
      </c>
      <c r="Q1393">
        <f t="shared" si="68"/>
        <v>25</v>
      </c>
      <c r="R1393">
        <f t="shared" si="69"/>
        <v>7</v>
      </c>
      <c r="S1393">
        <v>0.58389999999999997</v>
      </c>
    </row>
    <row r="1394" spans="1:19" x14ac:dyDescent="0.25">
      <c r="A1394">
        <v>1044</v>
      </c>
      <c r="B1394">
        <v>1</v>
      </c>
      <c r="C1394" t="s">
        <v>40</v>
      </c>
      <c r="D1394">
        <v>6.04</v>
      </c>
      <c r="E1394">
        <v>3.8E-3</v>
      </c>
      <c r="F1394">
        <v>400</v>
      </c>
      <c r="G1394">
        <v>150</v>
      </c>
      <c r="H1394" t="str">
        <f t="shared" si="66"/>
        <v>砂土</v>
      </c>
      <c r="I1394" t="s">
        <v>22</v>
      </c>
      <c r="J1394" t="s">
        <v>22</v>
      </c>
      <c r="K1394">
        <v>0.21299999999999999</v>
      </c>
      <c r="L1394">
        <v>58</v>
      </c>
      <c r="M1394">
        <f t="shared" si="67"/>
        <v>7.96</v>
      </c>
      <c r="N1394" t="s">
        <v>38</v>
      </c>
      <c r="O1394">
        <v>60</v>
      </c>
      <c r="P1394">
        <v>5.48</v>
      </c>
      <c r="Q1394">
        <f t="shared" si="68"/>
        <v>25</v>
      </c>
      <c r="R1394">
        <f t="shared" si="69"/>
        <v>7</v>
      </c>
      <c r="S1394">
        <v>0.49819999999999998</v>
      </c>
    </row>
    <row r="1395" spans="1:19" x14ac:dyDescent="0.25">
      <c r="A1395">
        <v>1044</v>
      </c>
      <c r="B1395">
        <v>1</v>
      </c>
      <c r="C1395" t="s">
        <v>44</v>
      </c>
      <c r="D1395">
        <v>6.58</v>
      </c>
      <c r="E1395">
        <v>2.3000000000000001E-4</v>
      </c>
      <c r="F1395">
        <v>536</v>
      </c>
      <c r="G1395">
        <v>162.5</v>
      </c>
      <c r="H1395" t="str">
        <f t="shared" si="66"/>
        <v>砂土</v>
      </c>
      <c r="I1395" t="s">
        <v>22</v>
      </c>
      <c r="J1395" t="s">
        <v>22</v>
      </c>
      <c r="K1395">
        <v>0.21299999999999999</v>
      </c>
      <c r="L1395">
        <v>58</v>
      </c>
      <c r="M1395">
        <f t="shared" si="67"/>
        <v>7.96</v>
      </c>
      <c r="N1395" t="s">
        <v>43</v>
      </c>
      <c r="O1395">
        <v>60</v>
      </c>
      <c r="P1395">
        <v>6.01</v>
      </c>
      <c r="Q1395">
        <f t="shared" si="68"/>
        <v>25</v>
      </c>
      <c r="R1395">
        <f t="shared" si="69"/>
        <v>7</v>
      </c>
      <c r="S1395">
        <v>0.62009999999999998</v>
      </c>
    </row>
    <row r="1396" spans="1:19" x14ac:dyDescent="0.25">
      <c r="A1396">
        <v>1044</v>
      </c>
      <c r="B1396">
        <v>1</v>
      </c>
      <c r="C1396" t="s">
        <v>41</v>
      </c>
      <c r="D1396">
        <v>6.75</v>
      </c>
      <c r="E1396">
        <v>2.9999999999999997E-4</v>
      </c>
      <c r="F1396">
        <v>524</v>
      </c>
      <c r="G1396">
        <v>262</v>
      </c>
      <c r="H1396" t="str">
        <f t="shared" si="66"/>
        <v>砂土</v>
      </c>
      <c r="I1396" t="s">
        <v>22</v>
      </c>
      <c r="J1396" t="s">
        <v>22</v>
      </c>
      <c r="K1396">
        <v>0.21299999999999999</v>
      </c>
      <c r="L1396">
        <v>58</v>
      </c>
      <c r="M1396">
        <f t="shared" si="67"/>
        <v>7.96</v>
      </c>
      <c r="N1396" t="s">
        <v>43</v>
      </c>
      <c r="O1396">
        <v>60</v>
      </c>
      <c r="P1396">
        <v>6.6</v>
      </c>
      <c r="Q1396">
        <f t="shared" si="68"/>
        <v>25</v>
      </c>
      <c r="R1396">
        <f t="shared" si="69"/>
        <v>7</v>
      </c>
      <c r="S1396">
        <v>0.90139999999999998</v>
      </c>
    </row>
    <row r="1397" spans="1:19" x14ac:dyDescent="0.25">
      <c r="A1397">
        <v>1044</v>
      </c>
      <c r="B1397">
        <v>1</v>
      </c>
      <c r="C1397" t="s">
        <v>42</v>
      </c>
      <c r="D1397">
        <v>6.5</v>
      </c>
      <c r="E1397">
        <v>2.5999999999999998E-4</v>
      </c>
      <c r="F1397">
        <v>525</v>
      </c>
      <c r="G1397">
        <v>273.5</v>
      </c>
      <c r="H1397" t="str">
        <f t="shared" si="66"/>
        <v>砂土</v>
      </c>
      <c r="I1397" t="s">
        <v>22</v>
      </c>
      <c r="J1397" t="s">
        <v>22</v>
      </c>
      <c r="K1397">
        <v>0.21299999999999999</v>
      </c>
      <c r="L1397">
        <v>58</v>
      </c>
      <c r="M1397">
        <f t="shared" si="67"/>
        <v>7.96</v>
      </c>
      <c r="N1397" t="s">
        <v>43</v>
      </c>
      <c r="O1397">
        <v>60</v>
      </c>
      <c r="P1397">
        <v>21.61</v>
      </c>
      <c r="Q1397">
        <f t="shared" si="68"/>
        <v>25</v>
      </c>
      <c r="R1397">
        <f t="shared" si="69"/>
        <v>7</v>
      </c>
      <c r="S1397">
        <v>0.38600000000000001</v>
      </c>
    </row>
    <row r="1398" spans="1:19" x14ac:dyDescent="0.25">
      <c r="A1398">
        <v>1044</v>
      </c>
      <c r="B1398">
        <v>1</v>
      </c>
      <c r="C1398" t="s">
        <v>26</v>
      </c>
      <c r="D1398">
        <v>3.3</v>
      </c>
      <c r="E1398">
        <v>31.7</v>
      </c>
      <c r="F1398">
        <v>218</v>
      </c>
      <c r="G1398">
        <v>80.2</v>
      </c>
      <c r="H1398" t="str">
        <f t="shared" si="66"/>
        <v>砂土</v>
      </c>
      <c r="I1398" t="s">
        <v>22</v>
      </c>
      <c r="J1398" t="s">
        <v>22</v>
      </c>
      <c r="K1398">
        <v>0.21299999999999999</v>
      </c>
      <c r="L1398">
        <v>58</v>
      </c>
      <c r="M1398">
        <f t="shared" si="67"/>
        <v>7.96</v>
      </c>
      <c r="N1398" t="s">
        <v>27</v>
      </c>
      <c r="O1398">
        <v>60</v>
      </c>
      <c r="P1398">
        <f>P1382</f>
        <v>1.43</v>
      </c>
      <c r="Q1398">
        <f t="shared" si="68"/>
        <v>25</v>
      </c>
      <c r="R1398">
        <f t="shared" si="69"/>
        <v>7</v>
      </c>
      <c r="S1398">
        <v>0.84089999999999998</v>
      </c>
    </row>
    <row r="1399" spans="1:19" x14ac:dyDescent="0.25">
      <c r="A1399">
        <v>1044</v>
      </c>
      <c r="B1399">
        <v>1</v>
      </c>
      <c r="C1399" t="s">
        <v>47</v>
      </c>
      <c r="D1399">
        <v>3.92</v>
      </c>
      <c r="E1399">
        <v>3.93</v>
      </c>
      <c r="F1399">
        <v>277</v>
      </c>
      <c r="G1399">
        <v>95</v>
      </c>
      <c r="H1399" t="str">
        <f t="shared" si="66"/>
        <v>砂土</v>
      </c>
      <c r="I1399" t="s">
        <v>22</v>
      </c>
      <c r="J1399" t="s">
        <v>22</v>
      </c>
      <c r="K1399">
        <v>0.21299999999999999</v>
      </c>
      <c r="L1399">
        <v>58</v>
      </c>
      <c r="M1399">
        <f t="shared" si="67"/>
        <v>7.96</v>
      </c>
      <c r="N1399" t="s">
        <v>29</v>
      </c>
      <c r="O1399">
        <v>60</v>
      </c>
      <c r="P1399">
        <f t="shared" ref="P1399:P1429" si="70">P1383</f>
        <v>2.98</v>
      </c>
      <c r="Q1399">
        <f t="shared" si="68"/>
        <v>25</v>
      </c>
      <c r="R1399">
        <f t="shared" si="69"/>
        <v>7</v>
      </c>
      <c r="S1399">
        <v>0.43180000000000002</v>
      </c>
    </row>
    <row r="1400" spans="1:19" x14ac:dyDescent="0.25">
      <c r="A1400">
        <v>1044</v>
      </c>
      <c r="B1400">
        <v>1</v>
      </c>
      <c r="C1400" t="s">
        <v>47</v>
      </c>
      <c r="D1400">
        <v>3.92</v>
      </c>
      <c r="E1400">
        <v>3.93</v>
      </c>
      <c r="F1400">
        <v>300</v>
      </c>
      <c r="G1400">
        <v>100</v>
      </c>
      <c r="H1400" t="str">
        <f t="shared" si="66"/>
        <v>砂土</v>
      </c>
      <c r="I1400" t="s">
        <v>22</v>
      </c>
      <c r="J1400" t="s">
        <v>22</v>
      </c>
      <c r="K1400">
        <v>0.21299999999999999</v>
      </c>
      <c r="L1400">
        <v>58</v>
      </c>
      <c r="M1400">
        <f t="shared" si="67"/>
        <v>7.96</v>
      </c>
      <c r="N1400" t="s">
        <v>29</v>
      </c>
      <c r="O1400">
        <v>60</v>
      </c>
      <c r="P1400">
        <f t="shared" si="70"/>
        <v>16.940000000000001</v>
      </c>
      <c r="Q1400">
        <f t="shared" si="68"/>
        <v>25</v>
      </c>
      <c r="R1400">
        <f t="shared" si="69"/>
        <v>7</v>
      </c>
      <c r="S1400">
        <v>0.63490000000000002</v>
      </c>
    </row>
    <row r="1401" spans="1:19" x14ac:dyDescent="0.25">
      <c r="A1401">
        <v>1044</v>
      </c>
      <c r="B1401">
        <v>1</v>
      </c>
      <c r="C1401" t="s">
        <v>34</v>
      </c>
      <c r="D1401">
        <v>4.18</v>
      </c>
      <c r="E1401">
        <v>1.68</v>
      </c>
      <c r="F1401">
        <v>295</v>
      </c>
      <c r="G1401">
        <v>116</v>
      </c>
      <c r="H1401" t="str">
        <f t="shared" si="66"/>
        <v>砂土</v>
      </c>
      <c r="I1401" t="s">
        <v>22</v>
      </c>
      <c r="J1401" t="s">
        <v>22</v>
      </c>
      <c r="K1401">
        <v>0.21299999999999999</v>
      </c>
      <c r="L1401">
        <v>58</v>
      </c>
      <c r="M1401">
        <f t="shared" si="67"/>
        <v>7.96</v>
      </c>
      <c r="N1401" t="s">
        <v>29</v>
      </c>
      <c r="O1401">
        <v>60</v>
      </c>
      <c r="P1401">
        <f t="shared" si="70"/>
        <v>2.71</v>
      </c>
      <c r="Q1401">
        <f t="shared" si="68"/>
        <v>25</v>
      </c>
      <c r="R1401">
        <f t="shared" si="69"/>
        <v>7</v>
      </c>
      <c r="S1401">
        <v>0.61319999999999997</v>
      </c>
    </row>
    <row r="1402" spans="1:19" x14ac:dyDescent="0.25">
      <c r="A1402">
        <v>1044</v>
      </c>
      <c r="B1402">
        <v>1</v>
      </c>
      <c r="C1402" t="s">
        <v>28</v>
      </c>
      <c r="D1402">
        <v>4.57</v>
      </c>
      <c r="E1402">
        <v>1.1000000000000001</v>
      </c>
      <c r="F1402">
        <v>340</v>
      </c>
      <c r="G1402">
        <v>101</v>
      </c>
      <c r="H1402" t="str">
        <f t="shared" si="66"/>
        <v>砂土</v>
      </c>
      <c r="I1402" t="s">
        <v>22</v>
      </c>
      <c r="J1402" t="s">
        <v>22</v>
      </c>
      <c r="K1402">
        <v>0.21299999999999999</v>
      </c>
      <c r="L1402">
        <v>58</v>
      </c>
      <c r="M1402">
        <f t="shared" si="67"/>
        <v>7.96</v>
      </c>
      <c r="N1402" t="s">
        <v>29</v>
      </c>
      <c r="O1402">
        <v>60</v>
      </c>
      <c r="P1402">
        <f t="shared" si="70"/>
        <v>6.75</v>
      </c>
      <c r="Q1402">
        <f t="shared" si="68"/>
        <v>25</v>
      </c>
      <c r="R1402">
        <f t="shared" si="69"/>
        <v>7</v>
      </c>
      <c r="S1402">
        <v>0.49709999999999999</v>
      </c>
    </row>
    <row r="1403" spans="1:19" x14ac:dyDescent="0.25">
      <c r="A1403">
        <v>1044</v>
      </c>
      <c r="B1403">
        <v>1</v>
      </c>
      <c r="C1403" t="s">
        <v>30</v>
      </c>
      <c r="D1403">
        <v>4.88</v>
      </c>
      <c r="E1403">
        <v>7.2999999999999995E-2</v>
      </c>
      <c r="F1403">
        <v>340</v>
      </c>
      <c r="G1403">
        <v>216</v>
      </c>
      <c r="H1403" t="str">
        <f t="shared" si="66"/>
        <v>砂土</v>
      </c>
      <c r="I1403" t="s">
        <v>22</v>
      </c>
      <c r="J1403" t="s">
        <v>22</v>
      </c>
      <c r="K1403">
        <v>0.21299999999999999</v>
      </c>
      <c r="L1403">
        <v>58</v>
      </c>
      <c r="M1403">
        <f t="shared" si="67"/>
        <v>7.96</v>
      </c>
      <c r="N1403" t="s">
        <v>29</v>
      </c>
      <c r="O1403">
        <v>60</v>
      </c>
      <c r="P1403">
        <f t="shared" si="70"/>
        <v>0.97</v>
      </c>
      <c r="Q1403">
        <f t="shared" si="68"/>
        <v>25</v>
      </c>
      <c r="R1403">
        <f t="shared" si="69"/>
        <v>7</v>
      </c>
      <c r="S1403">
        <v>0.75780000000000003</v>
      </c>
    </row>
    <row r="1404" spans="1:19" x14ac:dyDescent="0.25">
      <c r="A1404">
        <v>1044</v>
      </c>
      <c r="B1404">
        <v>1</v>
      </c>
      <c r="C1404" t="s">
        <v>35</v>
      </c>
      <c r="D1404">
        <v>5.18</v>
      </c>
      <c r="E1404">
        <v>0.13200000000000001</v>
      </c>
      <c r="F1404">
        <v>393</v>
      </c>
      <c r="G1404">
        <v>150</v>
      </c>
      <c r="H1404" t="str">
        <f t="shared" si="66"/>
        <v>砂土</v>
      </c>
      <c r="I1404" t="s">
        <v>22</v>
      </c>
      <c r="J1404" t="s">
        <v>22</v>
      </c>
      <c r="K1404">
        <v>0.21299999999999999</v>
      </c>
      <c r="L1404">
        <v>58</v>
      </c>
      <c r="M1404">
        <f t="shared" si="67"/>
        <v>7.96</v>
      </c>
      <c r="N1404" t="s">
        <v>32</v>
      </c>
      <c r="O1404">
        <v>60</v>
      </c>
      <c r="P1404">
        <f t="shared" si="70"/>
        <v>10.38</v>
      </c>
      <c r="Q1404">
        <f t="shared" si="68"/>
        <v>25</v>
      </c>
      <c r="R1404">
        <f t="shared" si="69"/>
        <v>7</v>
      </c>
      <c r="S1404">
        <v>0.34139999999999998</v>
      </c>
    </row>
    <row r="1405" spans="1:19" x14ac:dyDescent="0.25">
      <c r="A1405">
        <v>1044</v>
      </c>
      <c r="B1405">
        <v>1</v>
      </c>
      <c r="C1405" t="s">
        <v>31</v>
      </c>
      <c r="D1405">
        <v>5.22</v>
      </c>
      <c r="E1405">
        <v>0.26</v>
      </c>
      <c r="F1405">
        <v>375</v>
      </c>
      <c r="G1405">
        <v>111</v>
      </c>
      <c r="H1405" t="str">
        <f t="shared" si="66"/>
        <v>砂土</v>
      </c>
      <c r="I1405" t="s">
        <v>22</v>
      </c>
      <c r="J1405" t="s">
        <v>22</v>
      </c>
      <c r="K1405">
        <v>0.21299999999999999</v>
      </c>
      <c r="L1405">
        <v>58</v>
      </c>
      <c r="M1405">
        <f t="shared" si="67"/>
        <v>7.96</v>
      </c>
      <c r="N1405" t="s">
        <v>32</v>
      </c>
      <c r="O1405">
        <v>60</v>
      </c>
      <c r="P1405">
        <f t="shared" si="70"/>
        <v>9.3000000000000007</v>
      </c>
      <c r="Q1405">
        <f t="shared" si="68"/>
        <v>25</v>
      </c>
      <c r="R1405">
        <f t="shared" si="69"/>
        <v>7</v>
      </c>
      <c r="S1405">
        <v>0.36470000000000002</v>
      </c>
    </row>
    <row r="1406" spans="1:19" x14ac:dyDescent="0.25">
      <c r="A1406">
        <v>1044</v>
      </c>
      <c r="B1406">
        <v>1</v>
      </c>
      <c r="C1406" t="s">
        <v>36</v>
      </c>
      <c r="D1406">
        <v>5.91</v>
      </c>
      <c r="E1406">
        <v>1.0999999999999999E-2</v>
      </c>
      <c r="F1406">
        <v>350</v>
      </c>
      <c r="G1406">
        <v>150</v>
      </c>
      <c r="H1406" t="str">
        <f t="shared" si="66"/>
        <v>砂土</v>
      </c>
      <c r="I1406" t="s">
        <v>22</v>
      </c>
      <c r="J1406" t="s">
        <v>22</v>
      </c>
      <c r="K1406">
        <v>0.21299999999999999</v>
      </c>
      <c r="L1406">
        <v>58</v>
      </c>
      <c r="M1406">
        <f t="shared" si="67"/>
        <v>7.96</v>
      </c>
      <c r="N1406" t="s">
        <v>32</v>
      </c>
      <c r="O1406">
        <v>60</v>
      </c>
      <c r="P1406">
        <f t="shared" si="70"/>
        <v>6.28</v>
      </c>
      <c r="Q1406">
        <f t="shared" si="68"/>
        <v>25</v>
      </c>
      <c r="R1406">
        <f t="shared" si="69"/>
        <v>7</v>
      </c>
      <c r="S1406">
        <v>0.22189999999999999</v>
      </c>
    </row>
    <row r="1407" spans="1:19" x14ac:dyDescent="0.25">
      <c r="A1407">
        <v>1044</v>
      </c>
      <c r="B1407">
        <v>1</v>
      </c>
      <c r="C1407" t="s">
        <v>33</v>
      </c>
      <c r="D1407">
        <v>5.61</v>
      </c>
      <c r="E1407">
        <v>2E-3</v>
      </c>
      <c r="F1407">
        <v>350</v>
      </c>
      <c r="G1407">
        <v>255</v>
      </c>
      <c r="H1407" t="str">
        <f t="shared" si="66"/>
        <v>砂土</v>
      </c>
      <c r="I1407" t="s">
        <v>22</v>
      </c>
      <c r="J1407" t="s">
        <v>22</v>
      </c>
      <c r="K1407">
        <v>0.21299999999999999</v>
      </c>
      <c r="L1407">
        <v>58</v>
      </c>
      <c r="M1407">
        <f t="shared" si="67"/>
        <v>7.96</v>
      </c>
      <c r="N1407" t="s">
        <v>32</v>
      </c>
      <c r="O1407">
        <v>60</v>
      </c>
      <c r="P1407">
        <f t="shared" si="70"/>
        <v>9.15</v>
      </c>
      <c r="Q1407">
        <f t="shared" si="68"/>
        <v>25</v>
      </c>
      <c r="R1407">
        <f t="shared" si="69"/>
        <v>7</v>
      </c>
      <c r="S1407">
        <v>0.57099999999999995</v>
      </c>
    </row>
    <row r="1408" spans="1:19" x14ac:dyDescent="0.25">
      <c r="A1408">
        <v>1044</v>
      </c>
      <c r="B1408">
        <v>1</v>
      </c>
      <c r="C1408" t="s">
        <v>37</v>
      </c>
      <c r="D1408">
        <v>6.04</v>
      </c>
      <c r="E1408">
        <v>1.5E-3</v>
      </c>
      <c r="F1408">
        <v>480</v>
      </c>
      <c r="G1408">
        <v>169</v>
      </c>
      <c r="H1408" t="str">
        <f t="shared" si="66"/>
        <v>砂土</v>
      </c>
      <c r="I1408" t="s">
        <v>22</v>
      </c>
      <c r="J1408" t="s">
        <v>22</v>
      </c>
      <c r="K1408">
        <v>0.21299999999999999</v>
      </c>
      <c r="L1408">
        <v>58</v>
      </c>
      <c r="M1408">
        <f t="shared" si="67"/>
        <v>7.96</v>
      </c>
      <c r="N1408" t="s">
        <v>38</v>
      </c>
      <c r="O1408">
        <v>60</v>
      </c>
      <c r="P1408">
        <f t="shared" si="70"/>
        <v>27.65</v>
      </c>
      <c r="Q1408">
        <f t="shared" si="68"/>
        <v>25</v>
      </c>
      <c r="R1408">
        <f t="shared" si="69"/>
        <v>7</v>
      </c>
      <c r="S1408">
        <v>0.24079999999999999</v>
      </c>
    </row>
    <row r="1409" spans="1:19" x14ac:dyDescent="0.25">
      <c r="A1409">
        <v>1044</v>
      </c>
      <c r="B1409">
        <v>1</v>
      </c>
      <c r="C1409" t="s">
        <v>39</v>
      </c>
      <c r="D1409">
        <v>6.34</v>
      </c>
      <c r="E1409">
        <v>8.0000000000000004E-4</v>
      </c>
      <c r="F1409">
        <v>400</v>
      </c>
      <c r="G1409">
        <v>150</v>
      </c>
      <c r="H1409" t="str">
        <f t="shared" si="66"/>
        <v>砂土</v>
      </c>
      <c r="I1409" t="s">
        <v>22</v>
      </c>
      <c r="J1409" t="s">
        <v>22</v>
      </c>
      <c r="K1409">
        <v>0.21299999999999999</v>
      </c>
      <c r="L1409">
        <v>58</v>
      </c>
      <c r="M1409">
        <f t="shared" si="67"/>
        <v>7.96</v>
      </c>
      <c r="N1409" t="s">
        <v>38</v>
      </c>
      <c r="O1409">
        <v>60</v>
      </c>
      <c r="P1409">
        <f t="shared" si="70"/>
        <v>10.210000000000001</v>
      </c>
      <c r="Q1409">
        <f t="shared" si="68"/>
        <v>25</v>
      </c>
      <c r="R1409">
        <f t="shared" si="69"/>
        <v>7</v>
      </c>
      <c r="S1409">
        <v>0.13289999999999999</v>
      </c>
    </row>
    <row r="1410" spans="1:19" x14ac:dyDescent="0.25">
      <c r="A1410">
        <v>1044</v>
      </c>
      <c r="B1410">
        <v>1</v>
      </c>
      <c r="C1410" t="s">
        <v>40</v>
      </c>
      <c r="D1410">
        <v>6.04</v>
      </c>
      <c r="E1410">
        <v>3.8E-3</v>
      </c>
      <c r="F1410">
        <v>400</v>
      </c>
      <c r="G1410">
        <v>150</v>
      </c>
      <c r="H1410" t="str">
        <f t="shared" si="66"/>
        <v>砂土</v>
      </c>
      <c r="I1410" t="s">
        <v>22</v>
      </c>
      <c r="J1410" t="s">
        <v>22</v>
      </c>
      <c r="K1410">
        <v>0.21299999999999999</v>
      </c>
      <c r="L1410">
        <v>58</v>
      </c>
      <c r="M1410">
        <f t="shared" si="67"/>
        <v>7.96</v>
      </c>
      <c r="N1410" t="s">
        <v>38</v>
      </c>
      <c r="O1410">
        <v>60</v>
      </c>
      <c r="P1410">
        <f t="shared" si="70"/>
        <v>5.48</v>
      </c>
      <c r="Q1410">
        <f t="shared" si="68"/>
        <v>25</v>
      </c>
      <c r="R1410">
        <f t="shared" si="69"/>
        <v>7</v>
      </c>
      <c r="S1410">
        <v>8.1600000000000006E-2</v>
      </c>
    </row>
    <row r="1411" spans="1:19" x14ac:dyDescent="0.25">
      <c r="A1411">
        <v>1044</v>
      </c>
      <c r="B1411">
        <v>1</v>
      </c>
      <c r="C1411" t="s">
        <v>44</v>
      </c>
      <c r="D1411">
        <v>6.58</v>
      </c>
      <c r="E1411">
        <v>2.3000000000000001E-4</v>
      </c>
      <c r="F1411">
        <v>536</v>
      </c>
      <c r="G1411">
        <v>162.5</v>
      </c>
      <c r="H1411" t="str">
        <f t="shared" si="66"/>
        <v>砂土</v>
      </c>
      <c r="I1411" t="s">
        <v>22</v>
      </c>
      <c r="J1411" t="s">
        <v>22</v>
      </c>
      <c r="K1411">
        <v>0.21299999999999999</v>
      </c>
      <c r="L1411">
        <v>58</v>
      </c>
      <c r="M1411">
        <f t="shared" si="67"/>
        <v>7.96</v>
      </c>
      <c r="N1411" t="s">
        <v>43</v>
      </c>
      <c r="O1411">
        <v>60</v>
      </c>
      <c r="P1411">
        <f t="shared" si="70"/>
        <v>6.01</v>
      </c>
      <c r="Q1411">
        <f t="shared" si="68"/>
        <v>25</v>
      </c>
      <c r="R1411">
        <f t="shared" si="69"/>
        <v>7</v>
      </c>
      <c r="S1411">
        <v>0.38069999999999998</v>
      </c>
    </row>
    <row r="1412" spans="1:19" x14ac:dyDescent="0.25">
      <c r="A1412">
        <v>1044</v>
      </c>
      <c r="B1412">
        <v>1</v>
      </c>
      <c r="C1412" t="s">
        <v>41</v>
      </c>
      <c r="D1412">
        <v>6.75</v>
      </c>
      <c r="E1412">
        <v>2.9999999999999997E-4</v>
      </c>
      <c r="F1412">
        <v>524</v>
      </c>
      <c r="G1412">
        <v>262</v>
      </c>
      <c r="H1412" t="str">
        <f t="shared" si="66"/>
        <v>砂土</v>
      </c>
      <c r="I1412" t="s">
        <v>22</v>
      </c>
      <c r="J1412" t="s">
        <v>22</v>
      </c>
      <c r="K1412">
        <v>0.21299999999999999</v>
      </c>
      <c r="L1412">
        <v>58</v>
      </c>
      <c r="M1412">
        <f t="shared" si="67"/>
        <v>7.96</v>
      </c>
      <c r="N1412" t="s">
        <v>43</v>
      </c>
      <c r="O1412">
        <v>60</v>
      </c>
      <c r="P1412">
        <f t="shared" si="70"/>
        <v>6.6</v>
      </c>
      <c r="Q1412">
        <f t="shared" si="68"/>
        <v>25</v>
      </c>
      <c r="R1412">
        <f t="shared" si="69"/>
        <v>7</v>
      </c>
      <c r="S1412">
        <v>0.87960000000000005</v>
      </c>
    </row>
    <row r="1413" spans="1:19" x14ac:dyDescent="0.25">
      <c r="A1413">
        <v>1044</v>
      </c>
      <c r="B1413">
        <v>1</v>
      </c>
      <c r="C1413" t="s">
        <v>42</v>
      </c>
      <c r="D1413">
        <v>6.5</v>
      </c>
      <c r="E1413">
        <v>2.5999999999999998E-4</v>
      </c>
      <c r="F1413">
        <v>525</v>
      </c>
      <c r="G1413">
        <v>273.5</v>
      </c>
      <c r="H1413" t="str">
        <f t="shared" si="66"/>
        <v>砂土</v>
      </c>
      <c r="I1413" t="s">
        <v>22</v>
      </c>
      <c r="J1413" t="s">
        <v>22</v>
      </c>
      <c r="K1413">
        <v>0.21299999999999999</v>
      </c>
      <c r="L1413">
        <v>58</v>
      </c>
      <c r="M1413">
        <f t="shared" si="67"/>
        <v>7.96</v>
      </c>
      <c r="N1413" t="s">
        <v>43</v>
      </c>
      <c r="O1413">
        <v>60</v>
      </c>
      <c r="P1413">
        <f t="shared" si="70"/>
        <v>21.61</v>
      </c>
      <c r="Q1413">
        <f t="shared" si="68"/>
        <v>25</v>
      </c>
      <c r="R1413">
        <f t="shared" si="69"/>
        <v>7</v>
      </c>
      <c r="S1413">
        <v>0.24929999999999999</v>
      </c>
    </row>
    <row r="1414" spans="1:19" x14ac:dyDescent="0.25">
      <c r="A1414">
        <v>1044</v>
      </c>
      <c r="B1414">
        <v>1</v>
      </c>
      <c r="C1414" t="s">
        <v>26</v>
      </c>
      <c r="D1414">
        <v>3.3</v>
      </c>
      <c r="E1414">
        <v>31.7</v>
      </c>
      <c r="F1414">
        <v>218</v>
      </c>
      <c r="G1414">
        <v>80.2</v>
      </c>
      <c r="H1414" t="str">
        <f t="shared" si="66"/>
        <v>砂土</v>
      </c>
      <c r="I1414" t="s">
        <v>22</v>
      </c>
      <c r="J1414" t="s">
        <v>22</v>
      </c>
      <c r="K1414">
        <v>0.21299999999999999</v>
      </c>
      <c r="L1414">
        <v>58</v>
      </c>
      <c r="M1414">
        <f t="shared" si="67"/>
        <v>7.96</v>
      </c>
      <c r="N1414" t="s">
        <v>27</v>
      </c>
      <c r="O1414">
        <v>60</v>
      </c>
      <c r="P1414">
        <f t="shared" si="70"/>
        <v>1.43</v>
      </c>
      <c r="Q1414">
        <f t="shared" si="68"/>
        <v>25</v>
      </c>
      <c r="R1414">
        <f t="shared" si="69"/>
        <v>7</v>
      </c>
      <c r="S1414">
        <v>0.62539999999999996</v>
      </c>
    </row>
    <row r="1415" spans="1:19" x14ac:dyDescent="0.25">
      <c r="A1415">
        <v>1044</v>
      </c>
      <c r="B1415">
        <v>1</v>
      </c>
      <c r="C1415" t="s">
        <v>47</v>
      </c>
      <c r="D1415">
        <v>3.92</v>
      </c>
      <c r="E1415">
        <v>3.93</v>
      </c>
      <c r="F1415">
        <v>277</v>
      </c>
      <c r="G1415">
        <v>95</v>
      </c>
      <c r="H1415" t="str">
        <f t="shared" si="66"/>
        <v>砂土</v>
      </c>
      <c r="I1415" t="s">
        <v>22</v>
      </c>
      <c r="J1415" t="s">
        <v>22</v>
      </c>
      <c r="K1415">
        <v>0.21299999999999999</v>
      </c>
      <c r="L1415">
        <v>58</v>
      </c>
      <c r="M1415">
        <f t="shared" si="67"/>
        <v>7.96</v>
      </c>
      <c r="N1415" t="s">
        <v>29</v>
      </c>
      <c r="O1415">
        <v>60</v>
      </c>
      <c r="P1415">
        <f t="shared" si="70"/>
        <v>2.98</v>
      </c>
      <c r="Q1415">
        <f t="shared" si="68"/>
        <v>25</v>
      </c>
      <c r="R1415">
        <f t="shared" si="69"/>
        <v>7</v>
      </c>
      <c r="S1415">
        <v>0.76319999999999999</v>
      </c>
    </row>
    <row r="1416" spans="1:19" x14ac:dyDescent="0.25">
      <c r="A1416">
        <v>1044</v>
      </c>
      <c r="B1416">
        <v>1</v>
      </c>
      <c r="C1416" t="s">
        <v>47</v>
      </c>
      <c r="D1416">
        <v>3.92</v>
      </c>
      <c r="E1416">
        <v>3.93</v>
      </c>
      <c r="F1416">
        <v>300</v>
      </c>
      <c r="G1416">
        <v>100</v>
      </c>
      <c r="H1416" t="str">
        <f t="shared" si="66"/>
        <v>砂土</v>
      </c>
      <c r="I1416" t="s">
        <v>22</v>
      </c>
      <c r="J1416" t="s">
        <v>22</v>
      </c>
      <c r="K1416">
        <v>0.21299999999999999</v>
      </c>
      <c r="L1416">
        <v>58</v>
      </c>
      <c r="M1416">
        <f t="shared" si="67"/>
        <v>7.96</v>
      </c>
      <c r="N1416" t="s">
        <v>29</v>
      </c>
      <c r="O1416">
        <v>60</v>
      </c>
      <c r="P1416">
        <f t="shared" si="70"/>
        <v>16.940000000000001</v>
      </c>
      <c r="Q1416">
        <f t="shared" si="68"/>
        <v>25</v>
      </c>
      <c r="R1416">
        <f t="shared" si="69"/>
        <v>7</v>
      </c>
      <c r="S1416">
        <v>0.56359999999999999</v>
      </c>
    </row>
    <row r="1417" spans="1:19" x14ac:dyDescent="0.25">
      <c r="A1417">
        <v>1044</v>
      </c>
      <c r="B1417">
        <v>1</v>
      </c>
      <c r="C1417" t="s">
        <v>34</v>
      </c>
      <c r="D1417">
        <v>4.18</v>
      </c>
      <c r="E1417">
        <v>1.68</v>
      </c>
      <c r="F1417">
        <v>295</v>
      </c>
      <c r="G1417">
        <v>116</v>
      </c>
      <c r="H1417" t="str">
        <f t="shared" si="66"/>
        <v>砂土</v>
      </c>
      <c r="I1417" t="s">
        <v>22</v>
      </c>
      <c r="J1417" t="s">
        <v>22</v>
      </c>
      <c r="K1417">
        <v>0.21299999999999999</v>
      </c>
      <c r="L1417">
        <v>58</v>
      </c>
      <c r="M1417">
        <f t="shared" si="67"/>
        <v>7.96</v>
      </c>
      <c r="N1417" t="s">
        <v>29</v>
      </c>
      <c r="O1417">
        <v>60</v>
      </c>
      <c r="P1417">
        <f t="shared" si="70"/>
        <v>2.71</v>
      </c>
      <c r="Q1417">
        <f t="shared" si="68"/>
        <v>25</v>
      </c>
      <c r="R1417">
        <f t="shared" si="69"/>
        <v>7</v>
      </c>
      <c r="S1417">
        <v>0.68320000000000003</v>
      </c>
    </row>
    <row r="1418" spans="1:19" x14ac:dyDescent="0.25">
      <c r="A1418">
        <v>1044</v>
      </c>
      <c r="B1418">
        <v>1</v>
      </c>
      <c r="C1418" t="s">
        <v>28</v>
      </c>
      <c r="D1418">
        <v>4.57</v>
      </c>
      <c r="E1418">
        <v>1.1000000000000001</v>
      </c>
      <c r="F1418">
        <v>340</v>
      </c>
      <c r="G1418">
        <v>101</v>
      </c>
      <c r="H1418" t="str">
        <f t="shared" si="66"/>
        <v>砂土</v>
      </c>
      <c r="I1418" t="s">
        <v>22</v>
      </c>
      <c r="J1418" t="s">
        <v>22</v>
      </c>
      <c r="K1418">
        <v>0.21299999999999999</v>
      </c>
      <c r="L1418">
        <v>58</v>
      </c>
      <c r="M1418">
        <f t="shared" si="67"/>
        <v>7.96</v>
      </c>
      <c r="N1418" t="s">
        <v>29</v>
      </c>
      <c r="O1418">
        <v>60</v>
      </c>
      <c r="P1418">
        <f t="shared" si="70"/>
        <v>6.75</v>
      </c>
      <c r="Q1418">
        <f t="shared" si="68"/>
        <v>25</v>
      </c>
      <c r="R1418">
        <f t="shared" si="69"/>
        <v>7</v>
      </c>
      <c r="S1418">
        <v>0.62619999999999998</v>
      </c>
    </row>
    <row r="1419" spans="1:19" x14ac:dyDescent="0.25">
      <c r="A1419">
        <v>1044</v>
      </c>
      <c r="B1419">
        <v>1</v>
      </c>
      <c r="C1419" t="s">
        <v>30</v>
      </c>
      <c r="D1419">
        <v>4.88</v>
      </c>
      <c r="E1419">
        <v>7.2999999999999995E-2</v>
      </c>
      <c r="F1419">
        <v>340</v>
      </c>
      <c r="G1419">
        <v>216</v>
      </c>
      <c r="H1419" t="str">
        <f t="shared" si="66"/>
        <v>砂土</v>
      </c>
      <c r="I1419" t="s">
        <v>22</v>
      </c>
      <c r="J1419" t="s">
        <v>22</v>
      </c>
      <c r="K1419">
        <v>0.21299999999999999</v>
      </c>
      <c r="L1419">
        <v>58</v>
      </c>
      <c r="M1419">
        <f t="shared" si="67"/>
        <v>7.96</v>
      </c>
      <c r="N1419" t="s">
        <v>29</v>
      </c>
      <c r="O1419">
        <v>60</v>
      </c>
      <c r="P1419">
        <f t="shared" si="70"/>
        <v>0.97</v>
      </c>
      <c r="Q1419">
        <f t="shared" si="68"/>
        <v>25</v>
      </c>
      <c r="R1419">
        <f t="shared" si="69"/>
        <v>7</v>
      </c>
      <c r="S1419">
        <v>0.69030000000000002</v>
      </c>
    </row>
    <row r="1420" spans="1:19" x14ac:dyDescent="0.25">
      <c r="A1420">
        <v>1044</v>
      </c>
      <c r="B1420">
        <v>1</v>
      </c>
      <c r="C1420" t="s">
        <v>35</v>
      </c>
      <c r="D1420">
        <v>5.18</v>
      </c>
      <c r="E1420">
        <v>0.13200000000000001</v>
      </c>
      <c r="F1420">
        <v>393</v>
      </c>
      <c r="G1420">
        <v>150</v>
      </c>
      <c r="H1420" t="str">
        <f t="shared" si="66"/>
        <v>砂土</v>
      </c>
      <c r="I1420" t="s">
        <v>22</v>
      </c>
      <c r="J1420" t="s">
        <v>22</v>
      </c>
      <c r="K1420">
        <v>0.21299999999999999</v>
      </c>
      <c r="L1420">
        <v>58</v>
      </c>
      <c r="M1420">
        <f t="shared" si="67"/>
        <v>7.96</v>
      </c>
      <c r="N1420" t="s">
        <v>32</v>
      </c>
      <c r="O1420">
        <v>60</v>
      </c>
      <c r="P1420">
        <f t="shared" si="70"/>
        <v>10.38</v>
      </c>
      <c r="Q1420">
        <f t="shared" si="68"/>
        <v>25</v>
      </c>
      <c r="R1420">
        <f t="shared" si="69"/>
        <v>7</v>
      </c>
      <c r="S1420">
        <v>0.51700000000000002</v>
      </c>
    </row>
    <row r="1421" spans="1:19" x14ac:dyDescent="0.25">
      <c r="A1421">
        <v>1044</v>
      </c>
      <c r="B1421">
        <v>1</v>
      </c>
      <c r="C1421" t="s">
        <v>31</v>
      </c>
      <c r="D1421">
        <v>5.22</v>
      </c>
      <c r="E1421">
        <v>0.26</v>
      </c>
      <c r="F1421">
        <v>375</v>
      </c>
      <c r="G1421">
        <v>111</v>
      </c>
      <c r="H1421" t="str">
        <f t="shared" si="66"/>
        <v>砂土</v>
      </c>
      <c r="I1421" t="s">
        <v>22</v>
      </c>
      <c r="J1421" t="s">
        <v>22</v>
      </c>
      <c r="K1421">
        <v>0.21299999999999999</v>
      </c>
      <c r="L1421">
        <v>58</v>
      </c>
      <c r="M1421">
        <f t="shared" si="67"/>
        <v>7.96</v>
      </c>
      <c r="N1421" t="s">
        <v>32</v>
      </c>
      <c r="O1421">
        <v>60</v>
      </c>
      <c r="P1421">
        <f t="shared" si="70"/>
        <v>9.3000000000000007</v>
      </c>
      <c r="Q1421">
        <f t="shared" si="68"/>
        <v>25</v>
      </c>
      <c r="R1421">
        <f t="shared" si="69"/>
        <v>7</v>
      </c>
      <c r="S1421">
        <v>0.52780000000000005</v>
      </c>
    </row>
    <row r="1422" spans="1:19" x14ac:dyDescent="0.25">
      <c r="A1422">
        <v>1044</v>
      </c>
      <c r="B1422">
        <v>1</v>
      </c>
      <c r="C1422" t="s">
        <v>36</v>
      </c>
      <c r="D1422">
        <v>5.91</v>
      </c>
      <c r="E1422">
        <v>1.0999999999999999E-2</v>
      </c>
      <c r="F1422">
        <v>350</v>
      </c>
      <c r="G1422">
        <v>150</v>
      </c>
      <c r="H1422" t="str">
        <f t="shared" si="66"/>
        <v>砂土</v>
      </c>
      <c r="I1422" t="s">
        <v>22</v>
      </c>
      <c r="J1422" t="s">
        <v>22</v>
      </c>
      <c r="K1422">
        <v>0.21299999999999999</v>
      </c>
      <c r="L1422">
        <v>58</v>
      </c>
      <c r="M1422">
        <f t="shared" si="67"/>
        <v>7.96</v>
      </c>
      <c r="N1422" t="s">
        <v>32</v>
      </c>
      <c r="O1422">
        <v>60</v>
      </c>
      <c r="P1422">
        <f t="shared" si="70"/>
        <v>6.28</v>
      </c>
      <c r="Q1422">
        <f t="shared" si="68"/>
        <v>25</v>
      </c>
      <c r="R1422">
        <f t="shared" si="69"/>
        <v>7</v>
      </c>
      <c r="S1422">
        <v>6.9800000000000001E-2</v>
      </c>
    </row>
    <row r="1423" spans="1:19" x14ac:dyDescent="0.25">
      <c r="A1423">
        <v>1044</v>
      </c>
      <c r="B1423">
        <v>1</v>
      </c>
      <c r="C1423" t="s">
        <v>33</v>
      </c>
      <c r="D1423">
        <v>5.61</v>
      </c>
      <c r="E1423">
        <v>2E-3</v>
      </c>
      <c r="F1423">
        <v>350</v>
      </c>
      <c r="G1423">
        <v>255</v>
      </c>
      <c r="H1423" t="str">
        <f t="shared" si="66"/>
        <v>砂土</v>
      </c>
      <c r="I1423" t="s">
        <v>22</v>
      </c>
      <c r="J1423" t="s">
        <v>22</v>
      </c>
      <c r="K1423">
        <v>0.21299999999999999</v>
      </c>
      <c r="L1423">
        <v>58</v>
      </c>
      <c r="M1423">
        <f t="shared" si="67"/>
        <v>7.96</v>
      </c>
      <c r="N1423" t="s">
        <v>32</v>
      </c>
      <c r="O1423">
        <v>60</v>
      </c>
      <c r="P1423">
        <f t="shared" si="70"/>
        <v>9.15</v>
      </c>
      <c r="Q1423">
        <f t="shared" si="68"/>
        <v>25</v>
      </c>
      <c r="R1423">
        <f t="shared" si="69"/>
        <v>7</v>
      </c>
      <c r="S1423">
        <v>6.6400000000000001E-2</v>
      </c>
    </row>
    <row r="1424" spans="1:19" x14ac:dyDescent="0.25">
      <c r="A1424">
        <v>1044</v>
      </c>
      <c r="B1424">
        <v>1</v>
      </c>
      <c r="C1424" t="s">
        <v>37</v>
      </c>
      <c r="D1424">
        <v>6.04</v>
      </c>
      <c r="E1424">
        <v>1.5E-3</v>
      </c>
      <c r="F1424">
        <v>480</v>
      </c>
      <c r="G1424">
        <v>169</v>
      </c>
      <c r="H1424" t="str">
        <f t="shared" si="66"/>
        <v>砂土</v>
      </c>
      <c r="I1424" t="s">
        <v>22</v>
      </c>
      <c r="J1424" t="s">
        <v>22</v>
      </c>
      <c r="K1424">
        <v>0.21299999999999999</v>
      </c>
      <c r="L1424">
        <v>58</v>
      </c>
      <c r="M1424">
        <f t="shared" si="67"/>
        <v>7.96</v>
      </c>
      <c r="N1424" t="s">
        <v>38</v>
      </c>
      <c r="O1424">
        <v>60</v>
      </c>
      <c r="P1424">
        <f t="shared" si="70"/>
        <v>27.65</v>
      </c>
      <c r="Q1424">
        <f t="shared" si="68"/>
        <v>25</v>
      </c>
      <c r="R1424">
        <f t="shared" si="69"/>
        <v>7</v>
      </c>
      <c r="S1424">
        <v>0.42759999999999998</v>
      </c>
    </row>
    <row r="1425" spans="1:19" x14ac:dyDescent="0.25">
      <c r="A1425">
        <v>1044</v>
      </c>
      <c r="B1425">
        <v>1</v>
      </c>
      <c r="C1425" t="s">
        <v>39</v>
      </c>
      <c r="D1425">
        <v>6.34</v>
      </c>
      <c r="E1425">
        <v>8.0000000000000004E-4</v>
      </c>
      <c r="F1425">
        <v>400</v>
      </c>
      <c r="G1425">
        <v>150</v>
      </c>
      <c r="H1425" t="str">
        <f t="shared" si="66"/>
        <v>砂土</v>
      </c>
      <c r="I1425" t="s">
        <v>22</v>
      </c>
      <c r="J1425" t="s">
        <v>22</v>
      </c>
      <c r="K1425">
        <v>0.21299999999999999</v>
      </c>
      <c r="L1425">
        <v>58</v>
      </c>
      <c r="M1425">
        <f t="shared" si="67"/>
        <v>7.96</v>
      </c>
      <c r="N1425" t="s">
        <v>38</v>
      </c>
      <c r="O1425">
        <v>60</v>
      </c>
      <c r="P1425">
        <f t="shared" si="70"/>
        <v>10.210000000000001</v>
      </c>
      <c r="Q1425">
        <f t="shared" si="68"/>
        <v>25</v>
      </c>
      <c r="R1425">
        <f t="shared" si="69"/>
        <v>7</v>
      </c>
      <c r="S1425">
        <v>0.35749999999999998</v>
      </c>
    </row>
    <row r="1426" spans="1:19" x14ac:dyDescent="0.25">
      <c r="A1426">
        <v>1044</v>
      </c>
      <c r="B1426">
        <v>1</v>
      </c>
      <c r="C1426" t="s">
        <v>40</v>
      </c>
      <c r="D1426">
        <v>6.04</v>
      </c>
      <c r="E1426">
        <v>3.8E-3</v>
      </c>
      <c r="F1426">
        <v>400</v>
      </c>
      <c r="G1426">
        <v>150</v>
      </c>
      <c r="H1426" t="str">
        <f t="shared" si="66"/>
        <v>砂土</v>
      </c>
      <c r="I1426" t="s">
        <v>22</v>
      </c>
      <c r="J1426" t="s">
        <v>22</v>
      </c>
      <c r="K1426">
        <v>0.21299999999999999</v>
      </c>
      <c r="L1426">
        <v>58</v>
      </c>
      <c r="M1426">
        <f t="shared" si="67"/>
        <v>7.96</v>
      </c>
      <c r="N1426" t="s">
        <v>38</v>
      </c>
      <c r="O1426">
        <v>60</v>
      </c>
      <c r="P1426">
        <f t="shared" si="70"/>
        <v>5.48</v>
      </c>
      <c r="Q1426">
        <f t="shared" si="68"/>
        <v>25</v>
      </c>
      <c r="R1426">
        <f t="shared" si="69"/>
        <v>7</v>
      </c>
      <c r="S1426">
        <v>0.45050000000000001</v>
      </c>
    </row>
    <row r="1427" spans="1:19" x14ac:dyDescent="0.25">
      <c r="A1427">
        <v>1044</v>
      </c>
      <c r="B1427">
        <v>1</v>
      </c>
      <c r="C1427" t="s">
        <v>44</v>
      </c>
      <c r="D1427">
        <v>6.58</v>
      </c>
      <c r="E1427">
        <v>2.3000000000000001E-4</v>
      </c>
      <c r="F1427">
        <v>536</v>
      </c>
      <c r="G1427">
        <v>162.5</v>
      </c>
      <c r="H1427" t="str">
        <f t="shared" si="66"/>
        <v>砂土</v>
      </c>
      <c r="I1427" t="s">
        <v>22</v>
      </c>
      <c r="J1427" t="s">
        <v>22</v>
      </c>
      <c r="K1427">
        <v>0.21299999999999999</v>
      </c>
      <c r="L1427">
        <v>58</v>
      </c>
      <c r="M1427">
        <f t="shared" si="67"/>
        <v>7.96</v>
      </c>
      <c r="N1427" t="s">
        <v>43</v>
      </c>
      <c r="O1427">
        <v>60</v>
      </c>
      <c r="P1427">
        <f t="shared" si="70"/>
        <v>6.01</v>
      </c>
      <c r="Q1427">
        <f t="shared" si="68"/>
        <v>25</v>
      </c>
      <c r="R1427">
        <f t="shared" si="69"/>
        <v>7</v>
      </c>
      <c r="S1427">
        <v>0.1847</v>
      </c>
    </row>
    <row r="1428" spans="1:19" x14ac:dyDescent="0.25">
      <c r="A1428">
        <v>1044</v>
      </c>
      <c r="B1428">
        <v>1</v>
      </c>
      <c r="C1428" t="s">
        <v>41</v>
      </c>
      <c r="D1428">
        <v>6.75</v>
      </c>
      <c r="E1428">
        <v>2.9999999999999997E-4</v>
      </c>
      <c r="F1428">
        <v>524</v>
      </c>
      <c r="G1428">
        <v>262</v>
      </c>
      <c r="H1428" t="str">
        <f t="shared" si="66"/>
        <v>砂土</v>
      </c>
      <c r="I1428" t="s">
        <v>22</v>
      </c>
      <c r="J1428" t="s">
        <v>22</v>
      </c>
      <c r="K1428">
        <v>0.21299999999999999</v>
      </c>
      <c r="L1428">
        <v>58</v>
      </c>
      <c r="M1428">
        <f t="shared" si="67"/>
        <v>7.96</v>
      </c>
      <c r="N1428" t="s">
        <v>43</v>
      </c>
      <c r="O1428">
        <v>60</v>
      </c>
      <c r="P1428">
        <f t="shared" si="70"/>
        <v>6.6</v>
      </c>
      <c r="Q1428">
        <f t="shared" si="68"/>
        <v>25</v>
      </c>
      <c r="R1428">
        <f t="shared" si="69"/>
        <v>7</v>
      </c>
      <c r="S1428">
        <v>0.79510000000000003</v>
      </c>
    </row>
    <row r="1429" spans="1:19" x14ac:dyDescent="0.25">
      <c r="A1429">
        <v>1044</v>
      </c>
      <c r="B1429">
        <v>1</v>
      </c>
      <c r="C1429" t="s">
        <v>42</v>
      </c>
      <c r="D1429">
        <v>6.5</v>
      </c>
      <c r="E1429">
        <v>2.5999999999999998E-4</v>
      </c>
      <c r="F1429">
        <v>525</v>
      </c>
      <c r="G1429">
        <v>273.5</v>
      </c>
      <c r="H1429" t="str">
        <f t="shared" si="66"/>
        <v>砂土</v>
      </c>
      <c r="I1429" t="s">
        <v>22</v>
      </c>
      <c r="J1429" t="s">
        <v>22</v>
      </c>
      <c r="K1429">
        <v>0.21299999999999999</v>
      </c>
      <c r="L1429">
        <v>58</v>
      </c>
      <c r="M1429">
        <f t="shared" si="67"/>
        <v>7.96</v>
      </c>
      <c r="N1429" t="s">
        <v>43</v>
      </c>
      <c r="O1429">
        <v>60</v>
      </c>
      <c r="P1429">
        <f t="shared" si="70"/>
        <v>21.61</v>
      </c>
      <c r="Q1429">
        <f t="shared" si="68"/>
        <v>25</v>
      </c>
      <c r="R1429">
        <f t="shared" si="69"/>
        <v>7</v>
      </c>
      <c r="S1429">
        <v>0.2848</v>
      </c>
    </row>
    <row r="1430" spans="1:19" x14ac:dyDescent="0.25">
      <c r="A1430">
        <v>1044</v>
      </c>
      <c r="B1430">
        <v>2</v>
      </c>
      <c r="C1430" t="s">
        <v>54</v>
      </c>
      <c r="D1430">
        <v>4.1399999999999997</v>
      </c>
      <c r="E1430">
        <v>31.7</v>
      </c>
      <c r="F1430">
        <v>292.10000000000002</v>
      </c>
      <c r="G1430">
        <v>116.6</v>
      </c>
      <c r="H1430" t="str">
        <f t="shared" si="66"/>
        <v>砂土</v>
      </c>
      <c r="I1430" t="s">
        <v>22</v>
      </c>
      <c r="J1430" t="s">
        <v>22</v>
      </c>
      <c r="K1430">
        <v>0.21299999999999999</v>
      </c>
      <c r="L1430">
        <v>58</v>
      </c>
      <c r="M1430">
        <f t="shared" si="67"/>
        <v>7.96</v>
      </c>
      <c r="N1430" t="s">
        <v>55</v>
      </c>
      <c r="O1430">
        <v>60</v>
      </c>
      <c r="P1430">
        <v>22.524999999999999</v>
      </c>
      <c r="Q1430">
        <f t="shared" si="68"/>
        <v>25</v>
      </c>
      <c r="R1430">
        <f t="shared" si="69"/>
        <v>7</v>
      </c>
      <c r="S1430">
        <v>0.77790000000000004</v>
      </c>
    </row>
    <row r="1431" spans="1:19" x14ac:dyDescent="0.25">
      <c r="A1431">
        <v>1044</v>
      </c>
      <c r="B1431">
        <v>2</v>
      </c>
      <c r="C1431" t="s">
        <v>56</v>
      </c>
      <c r="D1431">
        <v>5.48</v>
      </c>
      <c r="E1431">
        <v>0.26</v>
      </c>
      <c r="F1431">
        <v>185.44</v>
      </c>
      <c r="G1431">
        <v>460.89</v>
      </c>
      <c r="H1431" t="str">
        <f t="shared" si="66"/>
        <v>砂土</v>
      </c>
      <c r="I1431" t="s">
        <v>22</v>
      </c>
      <c r="J1431" t="s">
        <v>22</v>
      </c>
      <c r="K1431">
        <v>0.21299999999999999</v>
      </c>
      <c r="L1431">
        <v>58</v>
      </c>
      <c r="M1431">
        <f t="shared" si="67"/>
        <v>7.96</v>
      </c>
      <c r="N1431" t="s">
        <v>57</v>
      </c>
      <c r="O1431">
        <v>60</v>
      </c>
      <c r="P1431">
        <v>11.003</v>
      </c>
      <c r="Q1431">
        <f t="shared" si="68"/>
        <v>25</v>
      </c>
      <c r="R1431">
        <f t="shared" si="69"/>
        <v>7</v>
      </c>
      <c r="S1431">
        <v>0.6381</v>
      </c>
    </row>
    <row r="1432" spans="1:19" x14ac:dyDescent="0.25">
      <c r="A1432">
        <v>1044</v>
      </c>
      <c r="B1432">
        <v>2</v>
      </c>
      <c r="C1432" t="s">
        <v>58</v>
      </c>
      <c r="D1432">
        <v>6.37</v>
      </c>
      <c r="E1432">
        <v>3.8E-3</v>
      </c>
      <c r="F1432">
        <v>278</v>
      </c>
      <c r="G1432">
        <v>500</v>
      </c>
      <c r="H1432" t="str">
        <f t="shared" si="66"/>
        <v>砂土</v>
      </c>
      <c r="I1432" t="s">
        <v>22</v>
      </c>
      <c r="J1432" t="s">
        <v>22</v>
      </c>
      <c r="K1432">
        <v>0.21299999999999999</v>
      </c>
      <c r="L1432">
        <v>58</v>
      </c>
      <c r="M1432">
        <f t="shared" si="67"/>
        <v>7.96</v>
      </c>
      <c r="N1432" t="s">
        <v>43</v>
      </c>
      <c r="O1432">
        <v>60</v>
      </c>
      <c r="P1432">
        <v>13.339</v>
      </c>
      <c r="Q1432">
        <f t="shared" si="68"/>
        <v>25</v>
      </c>
      <c r="R1432">
        <f t="shared" si="69"/>
        <v>7</v>
      </c>
      <c r="S1432">
        <v>0.63580000000000003</v>
      </c>
    </row>
    <row r="1433" spans="1:19" x14ac:dyDescent="0.25">
      <c r="A1433">
        <v>1044</v>
      </c>
      <c r="B1433">
        <v>2</v>
      </c>
      <c r="C1433" t="s">
        <v>54</v>
      </c>
      <c r="D1433">
        <v>4.1399999999999997</v>
      </c>
      <c r="E1433">
        <v>31.7</v>
      </c>
      <c r="F1433">
        <v>292.10000000000002</v>
      </c>
      <c r="G1433">
        <v>116.6</v>
      </c>
      <c r="H1433" t="str">
        <f t="shared" si="66"/>
        <v>砂土</v>
      </c>
      <c r="I1433" t="s">
        <v>22</v>
      </c>
      <c r="J1433" t="s">
        <v>22</v>
      </c>
      <c r="K1433">
        <v>0.21299999999999999</v>
      </c>
      <c r="L1433">
        <v>58</v>
      </c>
      <c r="M1433">
        <f t="shared" si="67"/>
        <v>7.96</v>
      </c>
      <c r="N1433" t="s">
        <v>55</v>
      </c>
      <c r="O1433">
        <v>60</v>
      </c>
      <c r="P1433">
        <v>22.524999999999999</v>
      </c>
      <c r="Q1433">
        <f t="shared" si="68"/>
        <v>25</v>
      </c>
      <c r="R1433">
        <f t="shared" si="69"/>
        <v>7</v>
      </c>
      <c r="S1433">
        <v>0.62960000000000005</v>
      </c>
    </row>
    <row r="1434" spans="1:19" x14ac:dyDescent="0.25">
      <c r="A1434">
        <v>1044</v>
      </c>
      <c r="B1434">
        <v>2</v>
      </c>
      <c r="C1434" t="s">
        <v>56</v>
      </c>
      <c r="D1434">
        <v>5.48</v>
      </c>
      <c r="E1434">
        <v>0.26</v>
      </c>
      <c r="F1434">
        <v>185.44</v>
      </c>
      <c r="G1434">
        <v>460.89</v>
      </c>
      <c r="H1434" t="str">
        <f t="shared" si="66"/>
        <v>砂土</v>
      </c>
      <c r="I1434" t="s">
        <v>22</v>
      </c>
      <c r="J1434" t="s">
        <v>22</v>
      </c>
      <c r="K1434">
        <v>0.21299999999999999</v>
      </c>
      <c r="L1434">
        <v>58</v>
      </c>
      <c r="M1434">
        <f t="shared" si="67"/>
        <v>7.96</v>
      </c>
      <c r="N1434" t="s">
        <v>57</v>
      </c>
      <c r="O1434">
        <v>60</v>
      </c>
      <c r="P1434">
        <v>11.003</v>
      </c>
      <c r="Q1434">
        <f t="shared" si="68"/>
        <v>25</v>
      </c>
      <c r="R1434">
        <f t="shared" si="69"/>
        <v>7</v>
      </c>
      <c r="S1434">
        <v>0.28920000000000001</v>
      </c>
    </row>
    <row r="1435" spans="1:19" x14ac:dyDescent="0.25">
      <c r="A1435">
        <v>1044</v>
      </c>
      <c r="B1435">
        <v>2</v>
      </c>
      <c r="C1435" t="s">
        <v>58</v>
      </c>
      <c r="D1435">
        <v>6.37</v>
      </c>
      <c r="E1435">
        <v>3.8E-3</v>
      </c>
      <c r="F1435">
        <v>278</v>
      </c>
      <c r="G1435">
        <v>500</v>
      </c>
      <c r="H1435" t="str">
        <f t="shared" si="66"/>
        <v>砂土</v>
      </c>
      <c r="I1435" t="s">
        <v>22</v>
      </c>
      <c r="J1435" t="s">
        <v>22</v>
      </c>
      <c r="K1435">
        <v>0.21299999999999999</v>
      </c>
      <c r="L1435">
        <v>58</v>
      </c>
      <c r="M1435">
        <f t="shared" si="67"/>
        <v>7.96</v>
      </c>
      <c r="N1435" t="s">
        <v>43</v>
      </c>
      <c r="O1435">
        <v>60</v>
      </c>
      <c r="P1435">
        <v>13.339</v>
      </c>
      <c r="Q1435">
        <f t="shared" si="68"/>
        <v>25</v>
      </c>
      <c r="R1435">
        <f t="shared" si="69"/>
        <v>7</v>
      </c>
      <c r="S1435">
        <v>0.50319999999999998</v>
      </c>
    </row>
    <row r="1436" spans="1:19" x14ac:dyDescent="0.25">
      <c r="A1436">
        <v>1044</v>
      </c>
      <c r="B1436">
        <v>2</v>
      </c>
      <c r="C1436" t="s">
        <v>54</v>
      </c>
      <c r="D1436">
        <v>4.1399999999999997</v>
      </c>
      <c r="E1436">
        <v>31.7</v>
      </c>
      <c r="F1436">
        <v>292.10000000000002</v>
      </c>
      <c r="G1436">
        <v>116.6</v>
      </c>
      <c r="H1436" t="str">
        <f t="shared" si="66"/>
        <v>砂土</v>
      </c>
      <c r="I1436" t="s">
        <v>22</v>
      </c>
      <c r="J1436" t="s">
        <v>22</v>
      </c>
      <c r="K1436">
        <v>0.21299999999999999</v>
      </c>
      <c r="L1436">
        <v>58</v>
      </c>
      <c r="M1436">
        <f t="shared" si="67"/>
        <v>7.96</v>
      </c>
      <c r="N1436" t="s">
        <v>55</v>
      </c>
      <c r="O1436">
        <v>60</v>
      </c>
      <c r="P1436">
        <v>22.524999999999999</v>
      </c>
      <c r="Q1436">
        <f t="shared" si="68"/>
        <v>25</v>
      </c>
      <c r="R1436">
        <f t="shared" si="69"/>
        <v>7</v>
      </c>
      <c r="S1436">
        <v>0.65869999999999995</v>
      </c>
    </row>
    <row r="1437" spans="1:19" x14ac:dyDescent="0.25">
      <c r="A1437">
        <v>1044</v>
      </c>
      <c r="B1437">
        <v>2</v>
      </c>
      <c r="C1437" t="s">
        <v>56</v>
      </c>
      <c r="D1437">
        <v>5.48</v>
      </c>
      <c r="E1437">
        <v>0.26</v>
      </c>
      <c r="F1437">
        <v>185.44</v>
      </c>
      <c r="G1437">
        <v>460.89</v>
      </c>
      <c r="H1437" t="str">
        <f t="shared" si="66"/>
        <v>砂土</v>
      </c>
      <c r="I1437" t="s">
        <v>22</v>
      </c>
      <c r="J1437" t="s">
        <v>22</v>
      </c>
      <c r="K1437">
        <v>0.21299999999999999</v>
      </c>
      <c r="L1437">
        <v>58</v>
      </c>
      <c r="M1437">
        <f t="shared" si="67"/>
        <v>7.96</v>
      </c>
      <c r="N1437" t="s">
        <v>57</v>
      </c>
      <c r="O1437">
        <v>60</v>
      </c>
      <c r="P1437">
        <v>11.003</v>
      </c>
      <c r="Q1437">
        <f t="shared" si="68"/>
        <v>25</v>
      </c>
      <c r="R1437">
        <f t="shared" si="69"/>
        <v>7</v>
      </c>
      <c r="S1437">
        <v>0.35520000000000002</v>
      </c>
    </row>
    <row r="1438" spans="1:19" x14ac:dyDescent="0.25">
      <c r="A1438">
        <v>1044</v>
      </c>
      <c r="B1438">
        <v>2</v>
      </c>
      <c r="C1438" t="s">
        <v>58</v>
      </c>
      <c r="D1438">
        <v>6.37</v>
      </c>
      <c r="E1438">
        <v>3.8E-3</v>
      </c>
      <c r="F1438">
        <v>278</v>
      </c>
      <c r="G1438">
        <v>500</v>
      </c>
      <c r="H1438" t="str">
        <f t="shared" si="66"/>
        <v>砂土</v>
      </c>
      <c r="I1438" t="s">
        <v>22</v>
      </c>
      <c r="J1438" t="s">
        <v>22</v>
      </c>
      <c r="K1438">
        <v>0.21299999999999999</v>
      </c>
      <c r="L1438">
        <v>58</v>
      </c>
      <c r="M1438">
        <f t="shared" si="67"/>
        <v>7.96</v>
      </c>
      <c r="N1438" t="s">
        <v>43</v>
      </c>
      <c r="O1438">
        <v>60</v>
      </c>
      <c r="P1438">
        <v>13.339</v>
      </c>
      <c r="Q1438">
        <f t="shared" si="68"/>
        <v>25</v>
      </c>
      <c r="R1438">
        <f t="shared" si="69"/>
        <v>7</v>
      </c>
      <c r="S1438">
        <v>0.42149999999999999</v>
      </c>
    </row>
    <row r="1439" spans="1:19" x14ac:dyDescent="0.25">
      <c r="A1439">
        <v>1044</v>
      </c>
      <c r="B1439">
        <v>2</v>
      </c>
      <c r="C1439" t="s">
        <v>19</v>
      </c>
      <c r="D1439">
        <v>4.95</v>
      </c>
      <c r="E1439">
        <v>31.7</v>
      </c>
      <c r="F1439">
        <v>170</v>
      </c>
      <c r="G1439">
        <v>387.6</v>
      </c>
      <c r="H1439" t="str">
        <f t="shared" si="66"/>
        <v>砂土</v>
      </c>
      <c r="I1439" t="s">
        <v>22</v>
      </c>
      <c r="J1439" t="s">
        <v>22</v>
      </c>
      <c r="K1439">
        <v>0.21299999999999999</v>
      </c>
      <c r="L1439">
        <v>58</v>
      </c>
      <c r="M1439">
        <f t="shared" si="67"/>
        <v>7.96</v>
      </c>
      <c r="N1439" t="s">
        <v>59</v>
      </c>
      <c r="O1439">
        <v>60</v>
      </c>
      <c r="P1439">
        <v>144.44999999999999</v>
      </c>
      <c r="Q1439">
        <f t="shared" si="68"/>
        <v>25</v>
      </c>
      <c r="R1439">
        <f t="shared" si="69"/>
        <v>7</v>
      </c>
      <c r="S1439">
        <v>0.64049999999999996</v>
      </c>
    </row>
    <row r="1440" spans="1:19" x14ac:dyDescent="0.25">
      <c r="A1440">
        <v>1044</v>
      </c>
      <c r="B1440">
        <v>2</v>
      </c>
      <c r="C1440" t="s">
        <v>19</v>
      </c>
      <c r="D1440">
        <v>4.95</v>
      </c>
      <c r="E1440">
        <v>31.7</v>
      </c>
      <c r="F1440">
        <f>F1439</f>
        <v>170</v>
      </c>
      <c r="G1440">
        <v>387.6</v>
      </c>
      <c r="H1440" t="str">
        <f t="shared" si="66"/>
        <v>砂土</v>
      </c>
      <c r="I1440" t="s">
        <v>22</v>
      </c>
      <c r="J1440" t="s">
        <v>22</v>
      </c>
      <c r="K1440">
        <v>0.21299999999999999</v>
      </c>
      <c r="L1440">
        <v>58</v>
      </c>
      <c r="M1440">
        <f t="shared" si="67"/>
        <v>7.96</v>
      </c>
      <c r="N1440" t="s">
        <v>59</v>
      </c>
      <c r="O1440">
        <v>60</v>
      </c>
      <c r="P1440">
        <v>144.44999999999999</v>
      </c>
      <c r="Q1440">
        <f t="shared" si="68"/>
        <v>25</v>
      </c>
      <c r="R1440">
        <f t="shared" si="69"/>
        <v>7</v>
      </c>
      <c r="S1440">
        <v>0.37980000000000003</v>
      </c>
    </row>
    <row r="1441" spans="1:19" x14ac:dyDescent="0.25">
      <c r="A1441">
        <v>1044</v>
      </c>
      <c r="B1441">
        <v>2</v>
      </c>
      <c r="C1441" t="s">
        <v>19</v>
      </c>
      <c r="D1441">
        <v>4.95</v>
      </c>
      <c r="E1441">
        <v>31.7</v>
      </c>
      <c r="F1441">
        <f>F1440</f>
        <v>170</v>
      </c>
      <c r="G1441">
        <v>387.6</v>
      </c>
      <c r="H1441" t="str">
        <f t="shared" si="66"/>
        <v>砂土</v>
      </c>
      <c r="I1441" t="s">
        <v>22</v>
      </c>
      <c r="J1441" t="s">
        <v>22</v>
      </c>
      <c r="K1441">
        <v>0.21299999999999999</v>
      </c>
      <c r="L1441">
        <v>58</v>
      </c>
      <c r="M1441">
        <f t="shared" si="67"/>
        <v>7.96</v>
      </c>
      <c r="N1441" t="s">
        <v>59</v>
      </c>
      <c r="O1441">
        <v>60</v>
      </c>
      <c r="P1441">
        <v>144.44999999999999</v>
      </c>
      <c r="Q1441">
        <f t="shared" si="68"/>
        <v>25</v>
      </c>
      <c r="R1441">
        <f t="shared" si="69"/>
        <v>7</v>
      </c>
      <c r="S1441">
        <v>0.3826</v>
      </c>
    </row>
    <row r="1442" spans="1:19" x14ac:dyDescent="0.25">
      <c r="A1442">
        <v>1044</v>
      </c>
      <c r="B1442">
        <v>3</v>
      </c>
      <c r="C1442" t="s">
        <v>54</v>
      </c>
      <c r="D1442">
        <v>4.1399999999999997</v>
      </c>
      <c r="E1442">
        <v>31.7</v>
      </c>
      <c r="F1442">
        <v>292.10000000000002</v>
      </c>
      <c r="G1442">
        <v>116.6</v>
      </c>
      <c r="H1442" t="str">
        <f t="shared" si="66"/>
        <v>砂土</v>
      </c>
      <c r="I1442" t="s">
        <v>22</v>
      </c>
      <c r="J1442" t="s">
        <v>22</v>
      </c>
      <c r="K1442">
        <v>0.21299999999999999</v>
      </c>
      <c r="L1442">
        <v>58</v>
      </c>
      <c r="M1442">
        <f t="shared" si="67"/>
        <v>7.96</v>
      </c>
      <c r="N1442" t="s">
        <v>55</v>
      </c>
      <c r="O1442">
        <v>60</v>
      </c>
      <c r="P1442">
        <v>1.43</v>
      </c>
      <c r="Q1442">
        <v>25</v>
      </c>
      <c r="R1442">
        <v>28</v>
      </c>
      <c r="S1442">
        <v>0.38200000000000001</v>
      </c>
    </row>
    <row r="1443" spans="1:19" x14ac:dyDescent="0.25">
      <c r="A1443">
        <v>1044</v>
      </c>
      <c r="B1443">
        <v>3</v>
      </c>
      <c r="C1443" t="s">
        <v>56</v>
      </c>
      <c r="D1443">
        <v>5.48</v>
      </c>
      <c r="E1443">
        <v>0.26</v>
      </c>
      <c r="F1443">
        <v>185.44</v>
      </c>
      <c r="G1443">
        <v>460.89</v>
      </c>
      <c r="H1443" t="str">
        <f t="shared" si="66"/>
        <v>砂土</v>
      </c>
      <c r="I1443" t="s">
        <v>22</v>
      </c>
      <c r="J1443" t="s">
        <v>22</v>
      </c>
      <c r="K1443">
        <v>0.21299999999999999</v>
      </c>
      <c r="L1443">
        <v>58</v>
      </c>
      <c r="M1443">
        <f t="shared" si="67"/>
        <v>7.96</v>
      </c>
      <c r="N1443" t="s">
        <v>57</v>
      </c>
      <c r="O1443">
        <v>60</v>
      </c>
      <c r="P1443">
        <v>2.98</v>
      </c>
      <c r="Q1443">
        <v>25</v>
      </c>
      <c r="R1443">
        <f>R1442</f>
        <v>28</v>
      </c>
      <c r="S1443">
        <v>0.218</v>
      </c>
    </row>
    <row r="1444" spans="1:19" x14ac:dyDescent="0.25">
      <c r="A1444">
        <v>1044</v>
      </c>
      <c r="B1444">
        <v>3</v>
      </c>
      <c r="C1444" t="s">
        <v>58</v>
      </c>
      <c r="D1444">
        <v>6.37</v>
      </c>
      <c r="E1444">
        <v>3.8E-3</v>
      </c>
      <c r="F1444">
        <v>278</v>
      </c>
      <c r="G1444">
        <v>500</v>
      </c>
      <c r="H1444" t="str">
        <f t="shared" si="66"/>
        <v>砂土</v>
      </c>
      <c r="I1444" t="s">
        <v>22</v>
      </c>
      <c r="J1444" t="s">
        <v>22</v>
      </c>
      <c r="K1444">
        <v>0.21299999999999999</v>
      </c>
      <c r="L1444">
        <v>58</v>
      </c>
      <c r="M1444">
        <f t="shared" si="67"/>
        <v>7.96</v>
      </c>
      <c r="N1444" t="s">
        <v>43</v>
      </c>
      <c r="O1444">
        <v>60</v>
      </c>
      <c r="P1444">
        <v>16.940000000000001</v>
      </c>
      <c r="Q1444">
        <v>25</v>
      </c>
      <c r="R1444">
        <f t="shared" ref="R1444:R1453" si="71">R1443</f>
        <v>28</v>
      </c>
      <c r="S1444">
        <v>0.42599999999999999</v>
      </c>
    </row>
    <row r="1445" spans="1:19" x14ac:dyDescent="0.25">
      <c r="A1445">
        <v>1044</v>
      </c>
      <c r="B1445">
        <v>3</v>
      </c>
      <c r="C1445" t="s">
        <v>54</v>
      </c>
      <c r="D1445">
        <v>4.1399999999999997</v>
      </c>
      <c r="E1445">
        <v>31.7</v>
      </c>
      <c r="F1445">
        <v>292.10000000000002</v>
      </c>
      <c r="G1445">
        <v>116.6</v>
      </c>
      <c r="H1445" t="str">
        <f t="shared" si="66"/>
        <v>砂土</v>
      </c>
      <c r="I1445" t="s">
        <v>22</v>
      </c>
      <c r="J1445" t="s">
        <v>22</v>
      </c>
      <c r="K1445">
        <v>0.21299999999999999</v>
      </c>
      <c r="L1445">
        <v>58</v>
      </c>
      <c r="M1445">
        <f t="shared" si="67"/>
        <v>7.96</v>
      </c>
      <c r="N1445" t="s">
        <v>55</v>
      </c>
      <c r="O1445">
        <v>60</v>
      </c>
      <c r="P1445">
        <v>2.71</v>
      </c>
      <c r="Q1445">
        <v>30</v>
      </c>
      <c r="R1445">
        <f t="shared" si="71"/>
        <v>28</v>
      </c>
      <c r="S1445">
        <v>0.378</v>
      </c>
    </row>
    <row r="1446" spans="1:19" x14ac:dyDescent="0.25">
      <c r="A1446">
        <v>1044</v>
      </c>
      <c r="B1446">
        <v>3</v>
      </c>
      <c r="C1446" t="s">
        <v>56</v>
      </c>
      <c r="D1446">
        <v>5.48</v>
      </c>
      <c r="E1446">
        <v>0.26</v>
      </c>
      <c r="F1446">
        <v>185.44</v>
      </c>
      <c r="G1446">
        <v>460.89</v>
      </c>
      <c r="H1446" t="str">
        <f t="shared" si="66"/>
        <v>砂土</v>
      </c>
      <c r="I1446" t="s">
        <v>22</v>
      </c>
      <c r="J1446" t="s">
        <v>22</v>
      </c>
      <c r="K1446">
        <v>0.21299999999999999</v>
      </c>
      <c r="L1446">
        <v>58</v>
      </c>
      <c r="M1446">
        <f t="shared" si="67"/>
        <v>7.96</v>
      </c>
      <c r="N1446" t="s">
        <v>57</v>
      </c>
      <c r="O1446">
        <v>60</v>
      </c>
      <c r="P1446">
        <v>6.75</v>
      </c>
      <c r="Q1446">
        <v>30</v>
      </c>
      <c r="R1446">
        <f t="shared" si="71"/>
        <v>28</v>
      </c>
      <c r="S1446">
        <v>0.19700000000000001</v>
      </c>
    </row>
    <row r="1447" spans="1:19" x14ac:dyDescent="0.25">
      <c r="A1447">
        <v>1044</v>
      </c>
      <c r="B1447">
        <v>3</v>
      </c>
      <c r="C1447" t="s">
        <v>58</v>
      </c>
      <c r="D1447">
        <v>6.37</v>
      </c>
      <c r="E1447">
        <v>3.8E-3</v>
      </c>
      <c r="F1447">
        <v>278</v>
      </c>
      <c r="G1447">
        <v>500</v>
      </c>
      <c r="H1447" t="str">
        <f t="shared" si="66"/>
        <v>砂土</v>
      </c>
      <c r="I1447" t="s">
        <v>22</v>
      </c>
      <c r="J1447" t="s">
        <v>22</v>
      </c>
      <c r="K1447">
        <v>0.21299999999999999</v>
      </c>
      <c r="L1447">
        <v>58</v>
      </c>
      <c r="M1447">
        <f t="shared" si="67"/>
        <v>7.96</v>
      </c>
      <c r="N1447" t="s">
        <v>43</v>
      </c>
      <c r="O1447">
        <v>60</v>
      </c>
      <c r="P1447">
        <v>0.97</v>
      </c>
      <c r="Q1447">
        <v>30</v>
      </c>
      <c r="R1447">
        <f t="shared" si="71"/>
        <v>28</v>
      </c>
      <c r="S1447">
        <v>-0.79600000000000004</v>
      </c>
    </row>
    <row r="1448" spans="1:19" x14ac:dyDescent="0.25">
      <c r="A1448">
        <v>1044</v>
      </c>
      <c r="B1448">
        <v>3</v>
      </c>
      <c r="C1448" t="s">
        <v>54</v>
      </c>
      <c r="D1448">
        <v>4.1399999999999997</v>
      </c>
      <c r="E1448">
        <v>31.7</v>
      </c>
      <c r="F1448">
        <v>292.10000000000002</v>
      </c>
      <c r="G1448">
        <v>116.6</v>
      </c>
      <c r="H1448" t="str">
        <f t="shared" ref="H1448:H1453" si="72">H1447</f>
        <v>砂土</v>
      </c>
      <c r="I1448" t="s">
        <v>22</v>
      </c>
      <c r="J1448" t="s">
        <v>22</v>
      </c>
      <c r="K1448">
        <v>0.21299999999999999</v>
      </c>
      <c r="L1448">
        <v>58</v>
      </c>
      <c r="M1448">
        <f t="shared" ref="M1448:M1453" si="73">M1447</f>
        <v>7.96</v>
      </c>
      <c r="N1448" t="s">
        <v>55</v>
      </c>
      <c r="O1448">
        <v>60</v>
      </c>
      <c r="P1448">
        <v>10.38</v>
      </c>
      <c r="Q1448">
        <v>30</v>
      </c>
      <c r="R1448">
        <f t="shared" si="71"/>
        <v>28</v>
      </c>
      <c r="S1448">
        <v>-5.5199999999999999E-2</v>
      </c>
    </row>
    <row r="1449" spans="1:19" x14ac:dyDescent="0.25">
      <c r="A1449">
        <v>1044</v>
      </c>
      <c r="B1449">
        <v>3</v>
      </c>
      <c r="C1449" t="s">
        <v>56</v>
      </c>
      <c r="D1449">
        <v>5.48</v>
      </c>
      <c r="E1449">
        <v>0.26</v>
      </c>
      <c r="F1449">
        <v>185.44</v>
      </c>
      <c r="G1449">
        <v>460.89</v>
      </c>
      <c r="H1449" t="str">
        <f t="shared" si="72"/>
        <v>砂土</v>
      </c>
      <c r="I1449" t="s">
        <v>22</v>
      </c>
      <c r="J1449" t="s">
        <v>22</v>
      </c>
      <c r="K1449">
        <v>0.21299999999999999</v>
      </c>
      <c r="L1449">
        <v>58</v>
      </c>
      <c r="M1449">
        <f t="shared" si="73"/>
        <v>7.96</v>
      </c>
      <c r="N1449" t="s">
        <v>57</v>
      </c>
      <c r="O1449">
        <v>60</v>
      </c>
      <c r="P1449">
        <v>9.3000000000000007</v>
      </c>
      <c r="Q1449">
        <v>35</v>
      </c>
      <c r="R1449">
        <f t="shared" si="71"/>
        <v>28</v>
      </c>
      <c r="S1449">
        <v>0.1447</v>
      </c>
    </row>
    <row r="1450" spans="1:19" x14ac:dyDescent="0.25">
      <c r="A1450">
        <v>1044</v>
      </c>
      <c r="B1450">
        <v>3</v>
      </c>
      <c r="C1450" t="s">
        <v>58</v>
      </c>
      <c r="D1450">
        <v>6.37</v>
      </c>
      <c r="E1450">
        <v>3.8E-3</v>
      </c>
      <c r="F1450">
        <v>278</v>
      </c>
      <c r="G1450">
        <v>500</v>
      </c>
      <c r="H1450" t="str">
        <f t="shared" si="72"/>
        <v>砂土</v>
      </c>
      <c r="I1450" t="s">
        <v>22</v>
      </c>
      <c r="J1450" t="s">
        <v>22</v>
      </c>
      <c r="K1450">
        <v>0.21299999999999999</v>
      </c>
      <c r="L1450">
        <v>58</v>
      </c>
      <c r="M1450">
        <f t="shared" si="73"/>
        <v>7.96</v>
      </c>
      <c r="N1450" t="s">
        <v>43</v>
      </c>
      <c r="O1450">
        <v>60</v>
      </c>
      <c r="P1450">
        <v>6.28</v>
      </c>
      <c r="Q1450">
        <v>35</v>
      </c>
      <c r="R1450">
        <f t="shared" si="71"/>
        <v>28</v>
      </c>
      <c r="S1450">
        <v>0.23680000000000001</v>
      </c>
    </row>
    <row r="1451" spans="1:19" x14ac:dyDescent="0.25">
      <c r="A1451">
        <v>1044</v>
      </c>
      <c r="B1451">
        <v>3</v>
      </c>
      <c r="C1451" t="s">
        <v>54</v>
      </c>
      <c r="D1451">
        <v>4.1399999999999997</v>
      </c>
      <c r="E1451">
        <v>31.7</v>
      </c>
      <c r="F1451">
        <v>292.10000000000002</v>
      </c>
      <c r="G1451">
        <v>116.6</v>
      </c>
      <c r="H1451" t="str">
        <f t="shared" si="72"/>
        <v>砂土</v>
      </c>
      <c r="I1451" t="s">
        <v>22</v>
      </c>
      <c r="J1451" t="s">
        <v>22</v>
      </c>
      <c r="K1451">
        <v>0.21299999999999999</v>
      </c>
      <c r="L1451">
        <v>58</v>
      </c>
      <c r="M1451">
        <f t="shared" si="73"/>
        <v>7.96</v>
      </c>
      <c r="N1451" t="s">
        <v>55</v>
      </c>
      <c r="O1451">
        <v>60</v>
      </c>
      <c r="P1451">
        <v>9.15</v>
      </c>
      <c r="Q1451">
        <v>35</v>
      </c>
      <c r="R1451">
        <f t="shared" si="71"/>
        <v>28</v>
      </c>
      <c r="S1451">
        <v>0.32629999999999998</v>
      </c>
    </row>
    <row r="1452" spans="1:19" x14ac:dyDescent="0.25">
      <c r="A1452">
        <v>1044</v>
      </c>
      <c r="B1452">
        <v>3</v>
      </c>
      <c r="C1452" t="s">
        <v>56</v>
      </c>
      <c r="D1452">
        <v>5.48</v>
      </c>
      <c r="E1452">
        <v>0.26</v>
      </c>
      <c r="F1452">
        <v>185.44</v>
      </c>
      <c r="G1452">
        <v>460.89</v>
      </c>
      <c r="H1452" t="str">
        <f t="shared" si="72"/>
        <v>砂土</v>
      </c>
      <c r="I1452" t="s">
        <v>22</v>
      </c>
      <c r="J1452" t="s">
        <v>22</v>
      </c>
      <c r="K1452">
        <v>0.21299999999999999</v>
      </c>
      <c r="L1452">
        <v>58</v>
      </c>
      <c r="M1452">
        <f t="shared" si="73"/>
        <v>7.96</v>
      </c>
      <c r="N1452" t="s">
        <v>57</v>
      </c>
      <c r="O1452">
        <v>60</v>
      </c>
      <c r="P1452">
        <v>27.65</v>
      </c>
      <c r="Q1452">
        <v>35</v>
      </c>
      <c r="R1452">
        <f t="shared" si="71"/>
        <v>28</v>
      </c>
      <c r="S1452">
        <v>0.30790000000000001</v>
      </c>
    </row>
    <row r="1453" spans="1:19" x14ac:dyDescent="0.25">
      <c r="A1453">
        <v>1044</v>
      </c>
      <c r="B1453">
        <v>3</v>
      </c>
      <c r="C1453" t="s">
        <v>58</v>
      </c>
      <c r="D1453">
        <v>6.37</v>
      </c>
      <c r="E1453">
        <v>3.8E-3</v>
      </c>
      <c r="F1453">
        <v>278</v>
      </c>
      <c r="G1453">
        <v>500</v>
      </c>
      <c r="H1453" t="str">
        <f t="shared" si="72"/>
        <v>砂土</v>
      </c>
      <c r="I1453" t="s">
        <v>22</v>
      </c>
      <c r="J1453" t="s">
        <v>22</v>
      </c>
      <c r="K1453">
        <v>0.21299999999999999</v>
      </c>
      <c r="L1453">
        <v>58</v>
      </c>
      <c r="M1453">
        <f t="shared" si="73"/>
        <v>7.96</v>
      </c>
      <c r="N1453" t="s">
        <v>43</v>
      </c>
      <c r="O1453">
        <v>60</v>
      </c>
      <c r="P1453">
        <v>10.210000000000001</v>
      </c>
      <c r="Q1453">
        <v>40</v>
      </c>
      <c r="R1453">
        <f t="shared" si="71"/>
        <v>28</v>
      </c>
      <c r="S1453">
        <v>0.3342</v>
      </c>
    </row>
    <row r="1454" spans="1:19" x14ac:dyDescent="0.25">
      <c r="A1454">
        <v>1045</v>
      </c>
      <c r="B1454">
        <v>1</v>
      </c>
      <c r="C1454" t="s">
        <v>28</v>
      </c>
      <c r="D1454">
        <v>4.57</v>
      </c>
      <c r="E1454">
        <v>1.1000000000000001</v>
      </c>
      <c r="F1454">
        <v>340</v>
      </c>
      <c r="G1454">
        <v>101</v>
      </c>
      <c r="H1454" t="s">
        <v>20</v>
      </c>
      <c r="I1454" t="s">
        <v>22</v>
      </c>
      <c r="J1454" t="s">
        <v>22</v>
      </c>
      <c r="K1454">
        <v>0.1207</v>
      </c>
      <c r="L1454">
        <v>3.36</v>
      </c>
      <c r="M1454">
        <v>9.0399999999999991</v>
      </c>
      <c r="N1454" t="s">
        <v>29</v>
      </c>
      <c r="O1454">
        <v>60</v>
      </c>
      <c r="P1454">
        <v>6.41</v>
      </c>
      <c r="Q1454">
        <v>30</v>
      </c>
      <c r="R1454">
        <v>6</v>
      </c>
      <c r="S1454">
        <v>0.40500000000000003</v>
      </c>
    </row>
    <row r="1455" spans="1:19" x14ac:dyDescent="0.25">
      <c r="A1455">
        <v>1045</v>
      </c>
      <c r="B1455">
        <v>1</v>
      </c>
      <c r="C1455" t="str">
        <f>C1454</f>
        <v>菲</v>
      </c>
      <c r="D1455">
        <f t="shared" ref="D1455:D1465" si="74">D1454</f>
        <v>4.57</v>
      </c>
      <c r="E1455">
        <v>1.1000000000000001</v>
      </c>
      <c r="F1455">
        <f>F1454</f>
        <v>340</v>
      </c>
      <c r="G1455">
        <f>G1454</f>
        <v>101</v>
      </c>
      <c r="H1455" t="s">
        <v>20</v>
      </c>
      <c r="I1455" t="s">
        <v>22</v>
      </c>
      <c r="J1455" t="s">
        <v>22</v>
      </c>
      <c r="K1455">
        <v>0.1207</v>
      </c>
      <c r="L1455">
        <v>3.36</v>
      </c>
      <c r="M1455">
        <v>9.0399999999999991</v>
      </c>
      <c r="N1455" t="s">
        <v>29</v>
      </c>
      <c r="O1455">
        <v>60</v>
      </c>
      <c r="P1455">
        <f>P1454</f>
        <v>6.41</v>
      </c>
      <c r="Q1455">
        <v>30</v>
      </c>
      <c r="R1455">
        <v>6</v>
      </c>
      <c r="S1455">
        <v>0.17899999999999999</v>
      </c>
    </row>
    <row r="1456" spans="1:19" x14ac:dyDescent="0.25">
      <c r="A1456">
        <v>1045</v>
      </c>
      <c r="B1456">
        <v>1</v>
      </c>
      <c r="C1456" t="str">
        <f t="shared" ref="C1456:C1465" si="75">C1455</f>
        <v>菲</v>
      </c>
      <c r="D1456">
        <f t="shared" si="74"/>
        <v>4.57</v>
      </c>
      <c r="E1456">
        <f>E1455</f>
        <v>1.1000000000000001</v>
      </c>
      <c r="F1456">
        <f t="shared" ref="F1456:F1465" si="76">F1455</f>
        <v>340</v>
      </c>
      <c r="G1456">
        <f t="shared" ref="G1456:G1465" si="77">G1455</f>
        <v>101</v>
      </c>
      <c r="H1456" t="str">
        <f>H1455</f>
        <v>壤土</v>
      </c>
      <c r="K1456">
        <f t="shared" ref="K1456:K1465" si="78">K1455</f>
        <v>0.1207</v>
      </c>
      <c r="L1456">
        <f>L1455</f>
        <v>3.36</v>
      </c>
      <c r="M1456">
        <f>M1455</f>
        <v>9.0399999999999991</v>
      </c>
      <c r="N1456" t="str">
        <f>N1455</f>
        <v>3环</v>
      </c>
      <c r="O1456">
        <v>60</v>
      </c>
      <c r="P1456">
        <f t="shared" ref="P1456:P1465" si="79">P1455</f>
        <v>6.41</v>
      </c>
      <c r="Q1456">
        <v>30</v>
      </c>
      <c r="R1456">
        <v>6</v>
      </c>
      <c r="S1456">
        <v>0.112</v>
      </c>
    </row>
    <row r="1457" spans="1:19" x14ac:dyDescent="0.25">
      <c r="A1457">
        <v>1045</v>
      </c>
      <c r="B1457">
        <v>1</v>
      </c>
      <c r="C1457" t="str">
        <f t="shared" si="75"/>
        <v>菲</v>
      </c>
      <c r="D1457">
        <f t="shared" si="74"/>
        <v>4.57</v>
      </c>
      <c r="E1457">
        <f t="shared" ref="E1457:E1465" si="80">E1456</f>
        <v>1.1000000000000001</v>
      </c>
      <c r="F1457">
        <f t="shared" si="76"/>
        <v>340</v>
      </c>
      <c r="G1457">
        <f t="shared" si="77"/>
        <v>101</v>
      </c>
      <c r="H1457" t="str">
        <f t="shared" ref="H1457:H1465" si="81">H1456</f>
        <v>壤土</v>
      </c>
      <c r="I1457" t="s">
        <v>22</v>
      </c>
      <c r="J1457" t="s">
        <v>22</v>
      </c>
      <c r="K1457">
        <f t="shared" si="78"/>
        <v>0.1207</v>
      </c>
      <c r="L1457">
        <f t="shared" ref="L1457:L1465" si="82">L1456</f>
        <v>3.36</v>
      </c>
      <c r="M1457">
        <f t="shared" ref="M1457:M1465" si="83">M1456</f>
        <v>9.0399999999999991</v>
      </c>
      <c r="N1457" t="str">
        <f t="shared" ref="N1457:N1465" si="84">N1456</f>
        <v>3环</v>
      </c>
      <c r="O1457">
        <v>60</v>
      </c>
      <c r="P1457">
        <f t="shared" si="79"/>
        <v>6.41</v>
      </c>
      <c r="Q1457">
        <v>30</v>
      </c>
      <c r="R1457">
        <v>12</v>
      </c>
      <c r="S1457">
        <v>0.74299999999999999</v>
      </c>
    </row>
    <row r="1458" spans="1:19" x14ac:dyDescent="0.25">
      <c r="A1458">
        <v>1045</v>
      </c>
      <c r="B1458">
        <v>1</v>
      </c>
      <c r="C1458" t="str">
        <f t="shared" si="75"/>
        <v>菲</v>
      </c>
      <c r="D1458">
        <f t="shared" si="74"/>
        <v>4.57</v>
      </c>
      <c r="E1458">
        <f t="shared" si="80"/>
        <v>1.1000000000000001</v>
      </c>
      <c r="F1458">
        <f t="shared" si="76"/>
        <v>340</v>
      </c>
      <c r="G1458">
        <f t="shared" si="77"/>
        <v>101</v>
      </c>
      <c r="H1458" t="str">
        <f t="shared" si="81"/>
        <v>壤土</v>
      </c>
      <c r="I1458" t="s">
        <v>22</v>
      </c>
      <c r="J1458" t="s">
        <v>22</v>
      </c>
      <c r="K1458">
        <f t="shared" si="78"/>
        <v>0.1207</v>
      </c>
      <c r="L1458">
        <f t="shared" si="82"/>
        <v>3.36</v>
      </c>
      <c r="M1458">
        <f t="shared" si="83"/>
        <v>9.0399999999999991</v>
      </c>
      <c r="N1458" t="str">
        <f t="shared" si="84"/>
        <v>3环</v>
      </c>
      <c r="O1458">
        <v>60</v>
      </c>
      <c r="P1458">
        <f t="shared" si="79"/>
        <v>6.41</v>
      </c>
      <c r="Q1458">
        <v>30</v>
      </c>
      <c r="R1458">
        <v>12</v>
      </c>
      <c r="S1458">
        <v>0.433</v>
      </c>
    </row>
    <row r="1459" spans="1:19" x14ac:dyDescent="0.25">
      <c r="A1459">
        <v>1045</v>
      </c>
      <c r="B1459">
        <v>1</v>
      </c>
      <c r="C1459" t="str">
        <f t="shared" si="75"/>
        <v>菲</v>
      </c>
      <c r="D1459">
        <f t="shared" si="74"/>
        <v>4.57</v>
      </c>
      <c r="E1459">
        <f t="shared" si="80"/>
        <v>1.1000000000000001</v>
      </c>
      <c r="F1459">
        <f t="shared" si="76"/>
        <v>340</v>
      </c>
      <c r="G1459">
        <f t="shared" si="77"/>
        <v>101</v>
      </c>
      <c r="H1459" t="str">
        <f t="shared" si="81"/>
        <v>壤土</v>
      </c>
      <c r="K1459">
        <f t="shared" si="78"/>
        <v>0.1207</v>
      </c>
      <c r="L1459">
        <f t="shared" si="82"/>
        <v>3.36</v>
      </c>
      <c r="M1459">
        <f t="shared" si="83"/>
        <v>9.0399999999999991</v>
      </c>
      <c r="N1459" t="str">
        <f t="shared" si="84"/>
        <v>3环</v>
      </c>
      <c r="O1459">
        <v>60</v>
      </c>
      <c r="P1459">
        <f t="shared" si="79"/>
        <v>6.41</v>
      </c>
      <c r="Q1459">
        <v>30</v>
      </c>
      <c r="R1459">
        <v>12</v>
      </c>
      <c r="S1459">
        <v>0.51400000000000001</v>
      </c>
    </row>
    <row r="1460" spans="1:19" x14ac:dyDescent="0.25">
      <c r="A1460">
        <v>1045</v>
      </c>
      <c r="B1460">
        <v>1</v>
      </c>
      <c r="C1460" t="str">
        <f t="shared" si="75"/>
        <v>菲</v>
      </c>
      <c r="D1460">
        <f t="shared" si="74"/>
        <v>4.57</v>
      </c>
      <c r="E1460">
        <f t="shared" si="80"/>
        <v>1.1000000000000001</v>
      </c>
      <c r="F1460">
        <f t="shared" si="76"/>
        <v>340</v>
      </c>
      <c r="G1460">
        <f t="shared" si="77"/>
        <v>101</v>
      </c>
      <c r="H1460" t="str">
        <f t="shared" si="81"/>
        <v>壤土</v>
      </c>
      <c r="I1460" t="s">
        <v>22</v>
      </c>
      <c r="J1460" t="s">
        <v>22</v>
      </c>
      <c r="K1460">
        <f t="shared" si="78"/>
        <v>0.1207</v>
      </c>
      <c r="L1460">
        <f t="shared" si="82"/>
        <v>3.36</v>
      </c>
      <c r="M1460">
        <f t="shared" si="83"/>
        <v>9.0399999999999991</v>
      </c>
      <c r="N1460" t="str">
        <f t="shared" si="84"/>
        <v>3环</v>
      </c>
      <c r="O1460">
        <v>60</v>
      </c>
      <c r="P1460">
        <f t="shared" si="79"/>
        <v>6.41</v>
      </c>
      <c r="Q1460">
        <v>30</v>
      </c>
      <c r="R1460">
        <v>24</v>
      </c>
      <c r="S1460">
        <v>0.98299999999999998</v>
      </c>
    </row>
    <row r="1461" spans="1:19" x14ac:dyDescent="0.25">
      <c r="A1461">
        <v>1045</v>
      </c>
      <c r="B1461">
        <v>1</v>
      </c>
      <c r="C1461" t="str">
        <f t="shared" si="75"/>
        <v>菲</v>
      </c>
      <c r="D1461">
        <f t="shared" si="74"/>
        <v>4.57</v>
      </c>
      <c r="E1461">
        <f t="shared" si="80"/>
        <v>1.1000000000000001</v>
      </c>
      <c r="F1461">
        <f t="shared" si="76"/>
        <v>340</v>
      </c>
      <c r="G1461">
        <f t="shared" si="77"/>
        <v>101</v>
      </c>
      <c r="H1461" t="str">
        <f t="shared" si="81"/>
        <v>壤土</v>
      </c>
      <c r="I1461" t="s">
        <v>22</v>
      </c>
      <c r="J1461" t="s">
        <v>22</v>
      </c>
      <c r="K1461">
        <f t="shared" si="78"/>
        <v>0.1207</v>
      </c>
      <c r="L1461">
        <f t="shared" si="82"/>
        <v>3.36</v>
      </c>
      <c r="M1461">
        <f t="shared" si="83"/>
        <v>9.0399999999999991</v>
      </c>
      <c r="N1461" t="str">
        <f t="shared" si="84"/>
        <v>3环</v>
      </c>
      <c r="O1461">
        <v>60</v>
      </c>
      <c r="P1461">
        <f t="shared" si="79"/>
        <v>6.41</v>
      </c>
      <c r="Q1461">
        <v>30</v>
      </c>
      <c r="R1461">
        <v>24</v>
      </c>
      <c r="S1461">
        <v>0.50700000000000001</v>
      </c>
    </row>
    <row r="1462" spans="1:19" x14ac:dyDescent="0.25">
      <c r="A1462">
        <v>1045</v>
      </c>
      <c r="B1462">
        <v>1</v>
      </c>
      <c r="C1462" t="str">
        <f t="shared" si="75"/>
        <v>菲</v>
      </c>
      <c r="D1462">
        <f t="shared" si="74"/>
        <v>4.57</v>
      </c>
      <c r="E1462">
        <f t="shared" si="80"/>
        <v>1.1000000000000001</v>
      </c>
      <c r="F1462">
        <f t="shared" si="76"/>
        <v>340</v>
      </c>
      <c r="G1462">
        <f t="shared" si="77"/>
        <v>101</v>
      </c>
      <c r="H1462" t="str">
        <f t="shared" si="81"/>
        <v>壤土</v>
      </c>
      <c r="K1462">
        <f t="shared" si="78"/>
        <v>0.1207</v>
      </c>
      <c r="L1462">
        <f t="shared" si="82"/>
        <v>3.36</v>
      </c>
      <c r="M1462">
        <f t="shared" si="83"/>
        <v>9.0399999999999991</v>
      </c>
      <c r="N1462" t="str">
        <f t="shared" si="84"/>
        <v>3环</v>
      </c>
      <c r="O1462">
        <v>60</v>
      </c>
      <c r="P1462">
        <f t="shared" si="79"/>
        <v>6.41</v>
      </c>
      <c r="Q1462">
        <v>30</v>
      </c>
      <c r="R1462">
        <v>24</v>
      </c>
      <c r="S1462">
        <v>0.89400000000000002</v>
      </c>
    </row>
    <row r="1463" spans="1:19" x14ac:dyDescent="0.25">
      <c r="A1463">
        <v>1045</v>
      </c>
      <c r="B1463">
        <v>1</v>
      </c>
      <c r="C1463" t="str">
        <f t="shared" si="75"/>
        <v>菲</v>
      </c>
      <c r="D1463">
        <f t="shared" si="74"/>
        <v>4.57</v>
      </c>
      <c r="E1463">
        <f t="shared" si="80"/>
        <v>1.1000000000000001</v>
      </c>
      <c r="F1463">
        <f t="shared" si="76"/>
        <v>340</v>
      </c>
      <c r="G1463">
        <f t="shared" si="77"/>
        <v>101</v>
      </c>
      <c r="H1463" t="str">
        <f t="shared" si="81"/>
        <v>壤土</v>
      </c>
      <c r="I1463" t="s">
        <v>22</v>
      </c>
      <c r="J1463" t="s">
        <v>22</v>
      </c>
      <c r="K1463">
        <f t="shared" si="78"/>
        <v>0.1207</v>
      </c>
      <c r="L1463">
        <f t="shared" si="82"/>
        <v>3.36</v>
      </c>
      <c r="M1463">
        <f t="shared" si="83"/>
        <v>9.0399999999999991</v>
      </c>
      <c r="N1463" t="str">
        <f t="shared" si="84"/>
        <v>3环</v>
      </c>
      <c r="O1463">
        <v>60</v>
      </c>
      <c r="P1463">
        <f t="shared" si="79"/>
        <v>6.41</v>
      </c>
      <c r="Q1463">
        <v>30</v>
      </c>
      <c r="R1463">
        <v>48</v>
      </c>
      <c r="S1463">
        <v>1</v>
      </c>
    </row>
    <row r="1464" spans="1:19" x14ac:dyDescent="0.25">
      <c r="A1464">
        <v>1045</v>
      </c>
      <c r="B1464">
        <v>1</v>
      </c>
      <c r="C1464" t="str">
        <f t="shared" si="75"/>
        <v>菲</v>
      </c>
      <c r="D1464">
        <f t="shared" si="74"/>
        <v>4.57</v>
      </c>
      <c r="E1464">
        <f t="shared" si="80"/>
        <v>1.1000000000000001</v>
      </c>
      <c r="F1464">
        <f t="shared" si="76"/>
        <v>340</v>
      </c>
      <c r="G1464">
        <f t="shared" si="77"/>
        <v>101</v>
      </c>
      <c r="H1464" t="str">
        <f t="shared" si="81"/>
        <v>壤土</v>
      </c>
      <c r="I1464" t="s">
        <v>22</v>
      </c>
      <c r="J1464" t="s">
        <v>22</v>
      </c>
      <c r="K1464">
        <f t="shared" si="78"/>
        <v>0.1207</v>
      </c>
      <c r="L1464">
        <f t="shared" si="82"/>
        <v>3.36</v>
      </c>
      <c r="M1464">
        <f t="shared" si="83"/>
        <v>9.0399999999999991</v>
      </c>
      <c r="N1464" t="str">
        <f t="shared" si="84"/>
        <v>3环</v>
      </c>
      <c r="O1464">
        <v>60</v>
      </c>
      <c r="P1464">
        <f t="shared" si="79"/>
        <v>6.41</v>
      </c>
      <c r="Q1464">
        <v>30</v>
      </c>
      <c r="R1464">
        <v>48</v>
      </c>
      <c r="S1464">
        <v>0.77500000000000002</v>
      </c>
    </row>
    <row r="1465" spans="1:19" x14ac:dyDescent="0.25">
      <c r="A1465">
        <v>1045</v>
      </c>
      <c r="B1465">
        <v>1</v>
      </c>
      <c r="C1465" t="str">
        <f t="shared" si="75"/>
        <v>菲</v>
      </c>
      <c r="D1465">
        <f t="shared" si="74"/>
        <v>4.57</v>
      </c>
      <c r="E1465">
        <f t="shared" si="80"/>
        <v>1.1000000000000001</v>
      </c>
      <c r="F1465">
        <f t="shared" si="76"/>
        <v>340</v>
      </c>
      <c r="G1465">
        <f t="shared" si="77"/>
        <v>101</v>
      </c>
      <c r="H1465" t="str">
        <f t="shared" si="81"/>
        <v>壤土</v>
      </c>
      <c r="K1465">
        <f t="shared" si="78"/>
        <v>0.1207</v>
      </c>
      <c r="L1465">
        <f t="shared" si="82"/>
        <v>3.36</v>
      </c>
      <c r="M1465">
        <f t="shared" si="83"/>
        <v>9.0399999999999991</v>
      </c>
      <c r="N1465" t="str">
        <f t="shared" si="84"/>
        <v>3环</v>
      </c>
      <c r="O1465">
        <v>60</v>
      </c>
      <c r="P1465">
        <f t="shared" si="79"/>
        <v>6.41</v>
      </c>
      <c r="Q1465">
        <v>30</v>
      </c>
      <c r="R1465">
        <v>48</v>
      </c>
      <c r="S1465">
        <v>1</v>
      </c>
    </row>
    <row r="1466" spans="1:19" x14ac:dyDescent="0.25">
      <c r="A1466">
        <v>1045</v>
      </c>
      <c r="B1466">
        <v>1</v>
      </c>
      <c r="C1466" t="s">
        <v>28</v>
      </c>
      <c r="D1466">
        <v>4.57</v>
      </c>
      <c r="E1466">
        <v>1.1000000000000001</v>
      </c>
      <c r="F1466">
        <v>340</v>
      </c>
      <c r="G1466">
        <v>101</v>
      </c>
      <c r="H1466" t="s">
        <v>20</v>
      </c>
      <c r="I1466" t="s">
        <v>22</v>
      </c>
      <c r="J1466" t="s">
        <v>22</v>
      </c>
      <c r="K1466">
        <v>0.1207</v>
      </c>
      <c r="L1466">
        <v>3.36</v>
      </c>
      <c r="M1466">
        <v>9.0399999999999991</v>
      </c>
      <c r="N1466" t="s">
        <v>29</v>
      </c>
      <c r="O1466">
        <v>60</v>
      </c>
      <c r="P1466">
        <v>7.13</v>
      </c>
      <c r="Q1466">
        <v>30</v>
      </c>
      <c r="R1466">
        <v>6</v>
      </c>
      <c r="S1466">
        <v>0.255</v>
      </c>
    </row>
    <row r="1467" spans="1:19" x14ac:dyDescent="0.25">
      <c r="A1467">
        <v>1045</v>
      </c>
      <c r="B1467">
        <v>1</v>
      </c>
      <c r="C1467" t="s">
        <v>60</v>
      </c>
      <c r="D1467">
        <v>4.9000000000000004</v>
      </c>
      <c r="E1467">
        <v>0.26</v>
      </c>
      <c r="F1467">
        <v>350</v>
      </c>
      <c r="G1467">
        <v>100</v>
      </c>
      <c r="H1467" t="s">
        <v>20</v>
      </c>
      <c r="I1467" t="s">
        <v>22</v>
      </c>
      <c r="J1467" t="s">
        <v>22</v>
      </c>
      <c r="K1467">
        <v>0.1207</v>
      </c>
      <c r="L1467">
        <v>3.36</v>
      </c>
      <c r="M1467">
        <v>9.0399999999999991</v>
      </c>
      <c r="N1467" t="s">
        <v>29</v>
      </c>
      <c r="O1467">
        <v>60</v>
      </c>
      <c r="P1467">
        <v>7.13</v>
      </c>
      <c r="Q1467">
        <v>30</v>
      </c>
      <c r="R1467">
        <v>12</v>
      </c>
      <c r="S1467">
        <v>0.54</v>
      </c>
    </row>
    <row r="1468" spans="1:19" x14ac:dyDescent="0.25">
      <c r="A1468">
        <v>1045</v>
      </c>
      <c r="B1468">
        <v>1</v>
      </c>
      <c r="C1468" t="str">
        <f>C1467</f>
        <v>1-甲基菲</v>
      </c>
      <c r="D1468">
        <f t="shared" ref="D1468:D1477" si="85">D1467</f>
        <v>4.9000000000000004</v>
      </c>
      <c r="E1468">
        <v>0.26</v>
      </c>
      <c r="F1468">
        <f>F1467</f>
        <v>350</v>
      </c>
      <c r="G1468">
        <v>100</v>
      </c>
      <c r="H1468" t="s">
        <v>20</v>
      </c>
      <c r="I1468" t="s">
        <v>22</v>
      </c>
      <c r="J1468" t="s">
        <v>22</v>
      </c>
      <c r="K1468">
        <v>0.1207</v>
      </c>
      <c r="L1468">
        <v>3.36</v>
      </c>
      <c r="M1468">
        <v>9.0399999999999991</v>
      </c>
      <c r="N1468" t="s">
        <v>29</v>
      </c>
      <c r="O1468">
        <v>60</v>
      </c>
      <c r="P1468">
        <f>P1467</f>
        <v>7.13</v>
      </c>
      <c r="Q1468">
        <v>30</v>
      </c>
      <c r="R1468">
        <v>24</v>
      </c>
      <c r="S1468">
        <v>0.97399999999999998</v>
      </c>
    </row>
    <row r="1469" spans="1:19" x14ac:dyDescent="0.25">
      <c r="A1469">
        <v>1045</v>
      </c>
      <c r="B1469">
        <v>1</v>
      </c>
      <c r="C1469" t="str">
        <f t="shared" ref="C1469:C1477" si="86">C1468</f>
        <v>1-甲基菲</v>
      </c>
      <c r="D1469">
        <f t="shared" si="85"/>
        <v>4.9000000000000004</v>
      </c>
      <c r="E1469">
        <f>E1468</f>
        <v>0.26</v>
      </c>
      <c r="F1469">
        <f t="shared" ref="F1469:F1477" si="87">F1468</f>
        <v>350</v>
      </c>
      <c r="G1469">
        <v>100</v>
      </c>
      <c r="H1469" t="s">
        <v>20</v>
      </c>
      <c r="I1469" t="s">
        <v>22</v>
      </c>
      <c r="J1469" t="s">
        <v>22</v>
      </c>
      <c r="K1469">
        <v>0.1207</v>
      </c>
      <c r="L1469">
        <v>3.36</v>
      </c>
      <c r="M1469">
        <v>9.0399999999999991</v>
      </c>
      <c r="N1469" t="s">
        <v>29</v>
      </c>
      <c r="O1469">
        <v>60</v>
      </c>
      <c r="P1469">
        <f t="shared" ref="P1469:P1477" si="88">P1468</f>
        <v>7.13</v>
      </c>
      <c r="Q1469">
        <v>30</v>
      </c>
      <c r="R1469">
        <v>48</v>
      </c>
      <c r="S1469">
        <v>1</v>
      </c>
    </row>
    <row r="1470" spans="1:19" x14ac:dyDescent="0.25">
      <c r="A1470">
        <v>1045</v>
      </c>
      <c r="B1470">
        <v>1</v>
      </c>
      <c r="C1470" t="str">
        <f t="shared" si="86"/>
        <v>1-甲基菲</v>
      </c>
      <c r="D1470">
        <f t="shared" si="85"/>
        <v>4.9000000000000004</v>
      </c>
      <c r="E1470">
        <f t="shared" ref="E1470:E1477" si="89">E1469</f>
        <v>0.26</v>
      </c>
      <c r="F1470">
        <f t="shared" si="87"/>
        <v>350</v>
      </c>
      <c r="G1470">
        <v>100</v>
      </c>
      <c r="H1470" t="s">
        <v>20</v>
      </c>
      <c r="I1470" t="s">
        <v>22</v>
      </c>
      <c r="J1470" t="s">
        <v>22</v>
      </c>
      <c r="K1470">
        <v>0.1207</v>
      </c>
      <c r="L1470">
        <v>3.36</v>
      </c>
      <c r="M1470">
        <v>9.0399999999999991</v>
      </c>
      <c r="N1470" t="s">
        <v>29</v>
      </c>
      <c r="O1470">
        <v>60</v>
      </c>
      <c r="P1470">
        <f t="shared" si="88"/>
        <v>7.13</v>
      </c>
      <c r="Q1470">
        <v>30</v>
      </c>
      <c r="R1470">
        <v>6</v>
      </c>
      <c r="S1470">
        <v>0.33900000000000002</v>
      </c>
    </row>
    <row r="1471" spans="1:19" x14ac:dyDescent="0.25">
      <c r="A1471">
        <v>1045</v>
      </c>
      <c r="B1471">
        <v>1</v>
      </c>
      <c r="C1471" t="str">
        <f t="shared" si="86"/>
        <v>1-甲基菲</v>
      </c>
      <c r="D1471">
        <f t="shared" si="85"/>
        <v>4.9000000000000004</v>
      </c>
      <c r="E1471">
        <f t="shared" si="89"/>
        <v>0.26</v>
      </c>
      <c r="F1471">
        <f t="shared" si="87"/>
        <v>350</v>
      </c>
      <c r="G1471">
        <v>100</v>
      </c>
      <c r="H1471" t="s">
        <v>20</v>
      </c>
      <c r="I1471" t="s">
        <v>22</v>
      </c>
      <c r="J1471" t="s">
        <v>22</v>
      </c>
      <c r="K1471">
        <v>0.1207</v>
      </c>
      <c r="L1471">
        <v>3.36</v>
      </c>
      <c r="M1471">
        <v>9.0399999999999991</v>
      </c>
      <c r="N1471" t="s">
        <v>29</v>
      </c>
      <c r="O1471">
        <v>60</v>
      </c>
      <c r="P1471">
        <f t="shared" si="88"/>
        <v>7.13</v>
      </c>
      <c r="Q1471">
        <v>30</v>
      </c>
      <c r="R1471">
        <v>12</v>
      </c>
      <c r="S1471">
        <v>0.38300000000000001</v>
      </c>
    </row>
    <row r="1472" spans="1:19" x14ac:dyDescent="0.25">
      <c r="A1472">
        <v>1045</v>
      </c>
      <c r="B1472">
        <v>1</v>
      </c>
      <c r="C1472" t="str">
        <f t="shared" si="86"/>
        <v>1-甲基菲</v>
      </c>
      <c r="D1472">
        <f t="shared" si="85"/>
        <v>4.9000000000000004</v>
      </c>
      <c r="E1472">
        <f t="shared" si="89"/>
        <v>0.26</v>
      </c>
      <c r="F1472">
        <f t="shared" si="87"/>
        <v>350</v>
      </c>
      <c r="G1472">
        <v>100</v>
      </c>
      <c r="H1472" t="s">
        <v>20</v>
      </c>
      <c r="I1472" t="s">
        <v>22</v>
      </c>
      <c r="J1472" t="s">
        <v>22</v>
      </c>
      <c r="K1472">
        <v>0.1207</v>
      </c>
      <c r="L1472">
        <v>3.36</v>
      </c>
      <c r="M1472">
        <v>9.0399999999999991</v>
      </c>
      <c r="N1472" t="s">
        <v>29</v>
      </c>
      <c r="O1472">
        <v>60</v>
      </c>
      <c r="P1472">
        <f t="shared" si="88"/>
        <v>7.13</v>
      </c>
      <c r="Q1472">
        <v>30</v>
      </c>
      <c r="R1472">
        <v>24</v>
      </c>
      <c r="S1472">
        <v>0.41</v>
      </c>
    </row>
    <row r="1473" spans="1:19" x14ac:dyDescent="0.25">
      <c r="A1473">
        <v>1045</v>
      </c>
      <c r="B1473">
        <v>1</v>
      </c>
      <c r="C1473" t="str">
        <f t="shared" si="86"/>
        <v>1-甲基菲</v>
      </c>
      <c r="D1473">
        <f t="shared" si="85"/>
        <v>4.9000000000000004</v>
      </c>
      <c r="E1473">
        <f t="shared" si="89"/>
        <v>0.26</v>
      </c>
      <c r="F1473">
        <f t="shared" si="87"/>
        <v>350</v>
      </c>
      <c r="G1473">
        <v>100</v>
      </c>
      <c r="H1473" t="s">
        <v>20</v>
      </c>
      <c r="I1473" t="s">
        <v>22</v>
      </c>
      <c r="J1473" t="s">
        <v>22</v>
      </c>
      <c r="K1473">
        <v>0.1207</v>
      </c>
      <c r="L1473">
        <v>3.36</v>
      </c>
      <c r="M1473">
        <v>9.0399999999999991</v>
      </c>
      <c r="N1473" t="s">
        <v>29</v>
      </c>
      <c r="O1473">
        <v>60</v>
      </c>
      <c r="P1473">
        <f t="shared" si="88"/>
        <v>7.13</v>
      </c>
      <c r="Q1473">
        <v>30</v>
      </c>
      <c r="R1473">
        <v>48</v>
      </c>
      <c r="S1473">
        <v>0.70899999999999996</v>
      </c>
    </row>
    <row r="1474" spans="1:19" x14ac:dyDescent="0.25">
      <c r="A1474">
        <v>1045</v>
      </c>
      <c r="B1474">
        <v>1</v>
      </c>
      <c r="C1474" t="str">
        <f t="shared" si="86"/>
        <v>1-甲基菲</v>
      </c>
      <c r="D1474">
        <f t="shared" si="85"/>
        <v>4.9000000000000004</v>
      </c>
      <c r="E1474">
        <f t="shared" si="89"/>
        <v>0.26</v>
      </c>
      <c r="F1474">
        <f t="shared" si="87"/>
        <v>350</v>
      </c>
      <c r="G1474">
        <v>100</v>
      </c>
      <c r="H1474" t="s">
        <v>20</v>
      </c>
      <c r="I1474" t="s">
        <v>22</v>
      </c>
      <c r="J1474" t="s">
        <v>22</v>
      </c>
      <c r="K1474">
        <v>0.1207</v>
      </c>
      <c r="L1474">
        <v>3.36</v>
      </c>
      <c r="M1474">
        <v>9.0399999999999991</v>
      </c>
      <c r="N1474" t="s">
        <v>29</v>
      </c>
      <c r="O1474">
        <v>60</v>
      </c>
      <c r="P1474">
        <f t="shared" si="88"/>
        <v>7.13</v>
      </c>
      <c r="Q1474">
        <v>30</v>
      </c>
      <c r="R1474">
        <v>6</v>
      </c>
      <c r="S1474">
        <v>0.23499999999999999</v>
      </c>
    </row>
    <row r="1475" spans="1:19" x14ac:dyDescent="0.25">
      <c r="A1475">
        <v>1045</v>
      </c>
      <c r="B1475">
        <v>1</v>
      </c>
      <c r="C1475" t="str">
        <f t="shared" si="86"/>
        <v>1-甲基菲</v>
      </c>
      <c r="D1475">
        <f t="shared" si="85"/>
        <v>4.9000000000000004</v>
      </c>
      <c r="E1475">
        <f t="shared" si="89"/>
        <v>0.26</v>
      </c>
      <c r="F1475">
        <f t="shared" si="87"/>
        <v>350</v>
      </c>
      <c r="G1475">
        <v>100</v>
      </c>
      <c r="H1475" t="s">
        <v>20</v>
      </c>
      <c r="I1475" t="s">
        <v>22</v>
      </c>
      <c r="J1475" t="s">
        <v>22</v>
      </c>
      <c r="K1475">
        <v>0.1207</v>
      </c>
      <c r="L1475">
        <v>3.36</v>
      </c>
      <c r="M1475">
        <v>9.0399999999999991</v>
      </c>
      <c r="N1475" t="s">
        <v>29</v>
      </c>
      <c r="O1475">
        <v>60</v>
      </c>
      <c r="P1475">
        <f t="shared" si="88"/>
        <v>7.13</v>
      </c>
      <c r="Q1475">
        <v>30</v>
      </c>
      <c r="R1475">
        <v>12</v>
      </c>
      <c r="S1475">
        <v>0.442</v>
      </c>
    </row>
    <row r="1476" spans="1:19" x14ac:dyDescent="0.25">
      <c r="A1476">
        <v>1045</v>
      </c>
      <c r="B1476">
        <v>1</v>
      </c>
      <c r="C1476" t="str">
        <f t="shared" si="86"/>
        <v>1-甲基菲</v>
      </c>
      <c r="D1476">
        <f t="shared" si="85"/>
        <v>4.9000000000000004</v>
      </c>
      <c r="E1476">
        <f t="shared" si="89"/>
        <v>0.26</v>
      </c>
      <c r="F1476">
        <f t="shared" si="87"/>
        <v>350</v>
      </c>
      <c r="G1476">
        <v>100</v>
      </c>
      <c r="H1476" t="s">
        <v>20</v>
      </c>
      <c r="I1476" t="s">
        <v>22</v>
      </c>
      <c r="J1476" t="s">
        <v>22</v>
      </c>
      <c r="K1476">
        <v>0.1207</v>
      </c>
      <c r="L1476">
        <v>3.36</v>
      </c>
      <c r="M1476">
        <v>9.0399999999999991</v>
      </c>
      <c r="N1476" t="s">
        <v>29</v>
      </c>
      <c r="O1476">
        <v>60</v>
      </c>
      <c r="P1476">
        <f t="shared" si="88"/>
        <v>7.13</v>
      </c>
      <c r="Q1476">
        <v>30</v>
      </c>
      <c r="R1476">
        <v>24</v>
      </c>
      <c r="S1476">
        <v>0.83699999999999997</v>
      </c>
    </row>
    <row r="1477" spans="1:19" x14ac:dyDescent="0.25">
      <c r="A1477">
        <v>1045</v>
      </c>
      <c r="B1477">
        <v>1</v>
      </c>
      <c r="C1477" t="str">
        <f t="shared" si="86"/>
        <v>1-甲基菲</v>
      </c>
      <c r="D1477">
        <f t="shared" si="85"/>
        <v>4.9000000000000004</v>
      </c>
      <c r="E1477">
        <f t="shared" si="89"/>
        <v>0.26</v>
      </c>
      <c r="F1477">
        <f t="shared" si="87"/>
        <v>350</v>
      </c>
      <c r="G1477">
        <v>100</v>
      </c>
      <c r="H1477" t="s">
        <v>20</v>
      </c>
      <c r="I1477" t="s">
        <v>22</v>
      </c>
      <c r="J1477" t="s">
        <v>22</v>
      </c>
      <c r="K1477">
        <v>0.1207</v>
      </c>
      <c r="L1477">
        <v>3.36</v>
      </c>
      <c r="M1477">
        <v>9.0399999999999991</v>
      </c>
      <c r="N1477" t="s">
        <v>29</v>
      </c>
      <c r="O1477">
        <v>60</v>
      </c>
      <c r="P1477">
        <f t="shared" si="88"/>
        <v>7.13</v>
      </c>
      <c r="Q1477">
        <v>30</v>
      </c>
      <c r="R1477">
        <v>48</v>
      </c>
      <c r="S1477">
        <v>0.999</v>
      </c>
    </row>
    <row r="1478" spans="1:19" x14ac:dyDescent="0.25">
      <c r="A1478">
        <v>1045</v>
      </c>
      <c r="B1478">
        <v>2</v>
      </c>
      <c r="C1478" t="s">
        <v>28</v>
      </c>
      <c r="D1478">
        <v>4.57</v>
      </c>
      <c r="E1478">
        <v>1.1000000000000001</v>
      </c>
      <c r="F1478">
        <v>340</v>
      </c>
      <c r="G1478">
        <v>101</v>
      </c>
      <c r="H1478" t="s">
        <v>20</v>
      </c>
      <c r="I1478" t="s">
        <v>22</v>
      </c>
      <c r="J1478" t="s">
        <v>22</v>
      </c>
      <c r="K1478">
        <v>0.1207</v>
      </c>
      <c r="L1478">
        <v>3.36</v>
      </c>
      <c r="M1478">
        <v>9.0399999999999991</v>
      </c>
      <c r="N1478" t="s">
        <v>29</v>
      </c>
      <c r="O1478">
        <v>20</v>
      </c>
      <c r="P1478">
        <v>10</v>
      </c>
      <c r="Q1478">
        <v>30</v>
      </c>
      <c r="R1478">
        <v>2</v>
      </c>
      <c r="S1478">
        <v>0.09</v>
      </c>
    </row>
    <row r="1479" spans="1:19" x14ac:dyDescent="0.25">
      <c r="A1479">
        <v>1045</v>
      </c>
      <c r="B1479">
        <v>2</v>
      </c>
      <c r="C1479" t="s">
        <v>60</v>
      </c>
      <c r="D1479">
        <v>4.9000000000000004</v>
      </c>
      <c r="E1479">
        <v>0.26</v>
      </c>
      <c r="F1479">
        <v>350</v>
      </c>
      <c r="G1479">
        <v>100</v>
      </c>
      <c r="H1479" t="s">
        <v>20</v>
      </c>
      <c r="I1479" t="s">
        <v>22</v>
      </c>
      <c r="J1479" t="s">
        <v>22</v>
      </c>
      <c r="K1479">
        <v>0.1207</v>
      </c>
      <c r="L1479">
        <v>3.36</v>
      </c>
      <c r="M1479">
        <v>9.0399999999999991</v>
      </c>
      <c r="N1479" t="s">
        <v>29</v>
      </c>
      <c r="O1479">
        <v>20</v>
      </c>
      <c r="P1479">
        <v>10</v>
      </c>
      <c r="Q1479">
        <v>30</v>
      </c>
      <c r="R1479">
        <v>2</v>
      </c>
      <c r="S1479">
        <v>0.16</v>
      </c>
    </row>
    <row r="1480" spans="1:19" x14ac:dyDescent="0.25">
      <c r="A1480">
        <v>1045</v>
      </c>
      <c r="B1480">
        <v>2</v>
      </c>
      <c r="C1480" t="s">
        <v>28</v>
      </c>
      <c r="D1480">
        <v>4.57</v>
      </c>
      <c r="E1480">
        <v>1.1000000000000001</v>
      </c>
      <c r="F1480">
        <v>340</v>
      </c>
      <c r="G1480">
        <v>101</v>
      </c>
      <c r="H1480" t="s">
        <v>20</v>
      </c>
      <c r="I1480" t="s">
        <v>22</v>
      </c>
      <c r="J1480" t="s">
        <v>22</v>
      </c>
      <c r="K1480">
        <v>0.1207</v>
      </c>
      <c r="L1480">
        <v>3.36</v>
      </c>
      <c r="M1480">
        <v>9.0399999999999991</v>
      </c>
      <c r="N1480" t="s">
        <v>29</v>
      </c>
      <c r="O1480">
        <v>40</v>
      </c>
      <c r="P1480">
        <v>10</v>
      </c>
      <c r="Q1480">
        <v>30</v>
      </c>
      <c r="R1480">
        <v>2</v>
      </c>
      <c r="S1480">
        <v>7.0000000000000007E-2</v>
      </c>
    </row>
    <row r="1481" spans="1:19" x14ac:dyDescent="0.25">
      <c r="A1481">
        <v>1045</v>
      </c>
      <c r="B1481">
        <v>2</v>
      </c>
      <c r="C1481" t="s">
        <v>60</v>
      </c>
      <c r="D1481">
        <v>4.9000000000000004</v>
      </c>
      <c r="E1481">
        <v>0.26</v>
      </c>
      <c r="F1481">
        <v>350</v>
      </c>
      <c r="G1481">
        <v>100</v>
      </c>
      <c r="H1481" t="s">
        <v>20</v>
      </c>
      <c r="I1481" t="s">
        <v>22</v>
      </c>
      <c r="J1481" t="s">
        <v>22</v>
      </c>
      <c r="K1481">
        <v>0.1207</v>
      </c>
      <c r="L1481">
        <v>3.36</v>
      </c>
      <c r="M1481">
        <v>9.0399999999999991</v>
      </c>
      <c r="N1481" t="s">
        <v>29</v>
      </c>
      <c r="O1481">
        <v>40</v>
      </c>
      <c r="P1481">
        <v>10</v>
      </c>
      <c r="Q1481">
        <v>30</v>
      </c>
      <c r="R1481">
        <v>2</v>
      </c>
      <c r="S1481">
        <v>0.1</v>
      </c>
    </row>
    <row r="1482" spans="1:19" x14ac:dyDescent="0.25">
      <c r="A1482">
        <v>1045</v>
      </c>
      <c r="B1482">
        <v>2</v>
      </c>
      <c r="C1482" t="s">
        <v>28</v>
      </c>
      <c r="D1482">
        <v>4.57</v>
      </c>
      <c r="E1482">
        <v>1.1000000000000001</v>
      </c>
      <c r="F1482">
        <v>340</v>
      </c>
      <c r="G1482">
        <v>101</v>
      </c>
      <c r="H1482" t="s">
        <v>20</v>
      </c>
      <c r="I1482" t="s">
        <v>22</v>
      </c>
      <c r="J1482" t="s">
        <v>22</v>
      </c>
      <c r="K1482">
        <v>0.1207</v>
      </c>
      <c r="L1482">
        <v>3.36</v>
      </c>
      <c r="M1482">
        <v>9.0399999999999991</v>
      </c>
      <c r="N1482" t="s">
        <v>29</v>
      </c>
      <c r="O1482">
        <v>60</v>
      </c>
      <c r="P1482">
        <v>10</v>
      </c>
      <c r="Q1482">
        <v>30</v>
      </c>
      <c r="R1482">
        <v>2</v>
      </c>
      <c r="S1482">
        <v>0.13</v>
      </c>
    </row>
    <row r="1483" spans="1:19" x14ac:dyDescent="0.25">
      <c r="A1483">
        <v>1045</v>
      </c>
      <c r="B1483">
        <v>2</v>
      </c>
      <c r="C1483" t="s">
        <v>60</v>
      </c>
      <c r="D1483">
        <v>4.9000000000000004</v>
      </c>
      <c r="E1483">
        <v>0.26</v>
      </c>
      <c r="F1483">
        <v>350</v>
      </c>
      <c r="G1483">
        <v>100</v>
      </c>
      <c r="H1483" t="s">
        <v>20</v>
      </c>
      <c r="I1483" t="s">
        <v>22</v>
      </c>
      <c r="J1483" t="s">
        <v>22</v>
      </c>
      <c r="K1483">
        <v>0.1207</v>
      </c>
      <c r="L1483">
        <v>3.36</v>
      </c>
      <c r="M1483">
        <v>9.0399999999999991</v>
      </c>
      <c r="N1483" t="s">
        <v>29</v>
      </c>
      <c r="O1483">
        <v>60</v>
      </c>
      <c r="P1483">
        <v>10</v>
      </c>
      <c r="Q1483">
        <v>30</v>
      </c>
      <c r="R1483">
        <v>2</v>
      </c>
      <c r="S1483">
        <v>0.06</v>
      </c>
    </row>
    <row r="1484" spans="1:19" x14ac:dyDescent="0.25">
      <c r="A1484">
        <v>1045</v>
      </c>
      <c r="B1484">
        <v>2</v>
      </c>
      <c r="C1484" t="s">
        <v>28</v>
      </c>
      <c r="D1484">
        <v>4.57</v>
      </c>
      <c r="E1484">
        <v>1.1000000000000001</v>
      </c>
      <c r="F1484">
        <v>340</v>
      </c>
      <c r="G1484">
        <v>101</v>
      </c>
      <c r="H1484" t="s">
        <v>20</v>
      </c>
      <c r="I1484" t="s">
        <v>22</v>
      </c>
      <c r="J1484" t="s">
        <v>22</v>
      </c>
      <c r="K1484">
        <v>0.1207</v>
      </c>
      <c r="L1484">
        <v>3.36</v>
      </c>
      <c r="M1484">
        <v>9.0399999999999991</v>
      </c>
      <c r="N1484" t="s">
        <v>29</v>
      </c>
      <c r="O1484">
        <v>80</v>
      </c>
      <c r="P1484">
        <v>10</v>
      </c>
      <c r="Q1484">
        <v>30</v>
      </c>
      <c r="R1484">
        <v>2</v>
      </c>
      <c r="S1484">
        <v>7.0000000000000007E-2</v>
      </c>
    </row>
    <row r="1485" spans="1:19" x14ac:dyDescent="0.25">
      <c r="A1485">
        <v>1045</v>
      </c>
      <c r="B1485">
        <v>2</v>
      </c>
      <c r="C1485" t="s">
        <v>60</v>
      </c>
      <c r="D1485">
        <v>4.9000000000000004</v>
      </c>
      <c r="E1485">
        <v>0.26</v>
      </c>
      <c r="F1485">
        <v>350</v>
      </c>
      <c r="G1485">
        <v>100</v>
      </c>
      <c r="H1485" t="s">
        <v>20</v>
      </c>
      <c r="I1485" t="s">
        <v>22</v>
      </c>
      <c r="J1485" t="s">
        <v>22</v>
      </c>
      <c r="K1485">
        <v>0.1207</v>
      </c>
      <c r="L1485">
        <v>3.36</v>
      </c>
      <c r="M1485">
        <v>9.0399999999999991</v>
      </c>
      <c r="N1485" t="s">
        <v>29</v>
      </c>
      <c r="O1485">
        <v>80</v>
      </c>
      <c r="P1485">
        <v>10</v>
      </c>
      <c r="Q1485">
        <v>30</v>
      </c>
      <c r="R1485">
        <v>2</v>
      </c>
      <c r="S1485">
        <v>0.08</v>
      </c>
    </row>
    <row r="1486" spans="1:19" x14ac:dyDescent="0.25">
      <c r="A1486">
        <v>1045</v>
      </c>
      <c r="B1486">
        <v>2</v>
      </c>
      <c r="C1486" t="s">
        <v>28</v>
      </c>
      <c r="D1486">
        <v>4.57</v>
      </c>
      <c r="E1486">
        <v>1.1000000000000001</v>
      </c>
      <c r="F1486">
        <v>340</v>
      </c>
      <c r="G1486">
        <v>101</v>
      </c>
      <c r="H1486" t="s">
        <v>20</v>
      </c>
      <c r="I1486" t="s">
        <v>22</v>
      </c>
      <c r="J1486" t="s">
        <v>22</v>
      </c>
      <c r="K1486">
        <v>0.1207</v>
      </c>
      <c r="L1486">
        <v>3.36</v>
      </c>
      <c r="M1486">
        <v>9.0399999999999991</v>
      </c>
      <c r="N1486" t="s">
        <v>29</v>
      </c>
      <c r="O1486">
        <v>100</v>
      </c>
      <c r="P1486">
        <v>10</v>
      </c>
      <c r="Q1486">
        <v>30</v>
      </c>
      <c r="R1486">
        <v>2</v>
      </c>
      <c r="S1486">
        <v>0.13</v>
      </c>
    </row>
    <row r="1487" spans="1:19" x14ac:dyDescent="0.25">
      <c r="A1487">
        <v>1045</v>
      </c>
      <c r="B1487">
        <v>2</v>
      </c>
      <c r="C1487" t="s">
        <v>60</v>
      </c>
      <c r="D1487">
        <v>4.9000000000000004</v>
      </c>
      <c r="E1487">
        <v>0.26</v>
      </c>
      <c r="F1487">
        <v>350</v>
      </c>
      <c r="G1487">
        <v>100</v>
      </c>
      <c r="H1487" t="s">
        <v>20</v>
      </c>
      <c r="I1487" t="s">
        <v>22</v>
      </c>
      <c r="J1487" t="s">
        <v>22</v>
      </c>
      <c r="K1487">
        <v>0.1207</v>
      </c>
      <c r="L1487">
        <v>3.36</v>
      </c>
      <c r="M1487">
        <v>9.0399999999999991</v>
      </c>
      <c r="N1487" t="s">
        <v>29</v>
      </c>
      <c r="O1487">
        <v>100</v>
      </c>
      <c r="P1487">
        <v>10</v>
      </c>
      <c r="Q1487">
        <v>30</v>
      </c>
      <c r="R1487">
        <v>2</v>
      </c>
      <c r="S1487">
        <v>0.04</v>
      </c>
    </row>
    <row r="1488" spans="1:19" x14ac:dyDescent="0.25">
      <c r="A1488">
        <v>1045</v>
      </c>
      <c r="B1488">
        <v>2</v>
      </c>
      <c r="C1488" t="s">
        <v>28</v>
      </c>
      <c r="D1488">
        <v>4.57</v>
      </c>
      <c r="E1488">
        <v>1.1000000000000001</v>
      </c>
      <c r="F1488">
        <v>340</v>
      </c>
      <c r="G1488">
        <v>101</v>
      </c>
      <c r="H1488" t="s">
        <v>20</v>
      </c>
      <c r="I1488" t="s">
        <v>22</v>
      </c>
      <c r="J1488" t="s">
        <v>22</v>
      </c>
      <c r="K1488">
        <v>0.1207</v>
      </c>
      <c r="L1488">
        <v>3.36</v>
      </c>
      <c r="M1488">
        <v>9.0399999999999991</v>
      </c>
      <c r="N1488" t="s">
        <v>29</v>
      </c>
      <c r="O1488">
        <v>20</v>
      </c>
      <c r="P1488">
        <v>10</v>
      </c>
      <c r="Q1488">
        <v>30</v>
      </c>
      <c r="R1488">
        <v>2</v>
      </c>
      <c r="S1488">
        <v>0.8</v>
      </c>
    </row>
    <row r="1489" spans="1:19" x14ac:dyDescent="0.25">
      <c r="A1489">
        <v>1045</v>
      </c>
      <c r="B1489">
        <v>2</v>
      </c>
      <c r="C1489" t="s">
        <v>60</v>
      </c>
      <c r="D1489">
        <v>4.9000000000000004</v>
      </c>
      <c r="E1489">
        <v>0.26</v>
      </c>
      <c r="F1489">
        <v>350</v>
      </c>
      <c r="G1489">
        <v>100</v>
      </c>
      <c r="H1489" t="s">
        <v>20</v>
      </c>
      <c r="I1489" t="s">
        <v>22</v>
      </c>
      <c r="J1489" t="s">
        <v>22</v>
      </c>
      <c r="K1489">
        <v>0.1207</v>
      </c>
      <c r="L1489">
        <v>3.36</v>
      </c>
      <c r="M1489">
        <v>9.0399999999999991</v>
      </c>
      <c r="N1489" t="s">
        <v>29</v>
      </c>
      <c r="O1489">
        <v>20</v>
      </c>
      <c r="P1489">
        <v>10</v>
      </c>
      <c r="Q1489">
        <v>30</v>
      </c>
      <c r="R1489">
        <v>2</v>
      </c>
      <c r="S1489">
        <v>0.58079999999999998</v>
      </c>
    </row>
    <row r="1490" spans="1:19" x14ac:dyDescent="0.25">
      <c r="A1490">
        <v>1045</v>
      </c>
      <c r="B1490">
        <v>2</v>
      </c>
      <c r="C1490" t="s">
        <v>28</v>
      </c>
      <c r="D1490">
        <v>4.57</v>
      </c>
      <c r="E1490">
        <v>1.1000000000000001</v>
      </c>
      <c r="F1490">
        <v>340</v>
      </c>
      <c r="G1490">
        <v>101</v>
      </c>
      <c r="H1490" t="s">
        <v>20</v>
      </c>
      <c r="I1490" t="s">
        <v>22</v>
      </c>
      <c r="J1490" t="s">
        <v>22</v>
      </c>
      <c r="K1490">
        <v>0.1207</v>
      </c>
      <c r="L1490">
        <v>3.36</v>
      </c>
      <c r="M1490">
        <v>9.0399999999999991</v>
      </c>
      <c r="N1490" t="s">
        <v>29</v>
      </c>
      <c r="O1490">
        <v>40</v>
      </c>
      <c r="P1490">
        <v>10</v>
      </c>
      <c r="Q1490">
        <v>30</v>
      </c>
      <c r="R1490">
        <v>2</v>
      </c>
      <c r="S1490">
        <v>0.89</v>
      </c>
    </row>
    <row r="1491" spans="1:19" x14ac:dyDescent="0.25">
      <c r="A1491">
        <v>1045</v>
      </c>
      <c r="B1491">
        <v>2</v>
      </c>
      <c r="C1491" t="s">
        <v>60</v>
      </c>
      <c r="D1491">
        <v>4.9000000000000004</v>
      </c>
      <c r="E1491">
        <v>0.26</v>
      </c>
      <c r="F1491">
        <v>350</v>
      </c>
      <c r="G1491">
        <v>100</v>
      </c>
      <c r="H1491" t="s">
        <v>20</v>
      </c>
      <c r="I1491" t="s">
        <v>22</v>
      </c>
      <c r="J1491" t="s">
        <v>22</v>
      </c>
      <c r="K1491">
        <v>0.1207</v>
      </c>
      <c r="L1491">
        <v>3.36</v>
      </c>
      <c r="M1491">
        <v>9.0399999999999991</v>
      </c>
      <c r="N1491" t="s">
        <v>29</v>
      </c>
      <c r="O1491">
        <v>40</v>
      </c>
      <c r="P1491">
        <v>10</v>
      </c>
      <c r="Q1491">
        <v>30</v>
      </c>
      <c r="R1491">
        <v>2</v>
      </c>
      <c r="S1491">
        <v>0.9</v>
      </c>
    </row>
    <row r="1492" spans="1:19" x14ac:dyDescent="0.25">
      <c r="A1492">
        <v>1045</v>
      </c>
      <c r="B1492">
        <v>2</v>
      </c>
      <c r="C1492" t="s">
        <v>28</v>
      </c>
      <c r="D1492">
        <v>4.57</v>
      </c>
      <c r="E1492">
        <v>1.1000000000000001</v>
      </c>
      <c r="F1492">
        <v>340</v>
      </c>
      <c r="G1492">
        <v>101</v>
      </c>
      <c r="H1492" t="s">
        <v>20</v>
      </c>
      <c r="I1492" t="s">
        <v>22</v>
      </c>
      <c r="J1492" t="s">
        <v>22</v>
      </c>
      <c r="K1492">
        <v>0.1207</v>
      </c>
      <c r="L1492">
        <v>3.36</v>
      </c>
      <c r="M1492">
        <v>9.0399999999999991</v>
      </c>
      <c r="N1492" t="s">
        <v>29</v>
      </c>
      <c r="O1492">
        <v>60</v>
      </c>
      <c r="P1492">
        <v>10</v>
      </c>
      <c r="Q1492">
        <v>30</v>
      </c>
      <c r="R1492">
        <v>2</v>
      </c>
      <c r="S1492">
        <v>0.96</v>
      </c>
    </row>
    <row r="1493" spans="1:19" x14ac:dyDescent="0.25">
      <c r="A1493">
        <v>1045</v>
      </c>
      <c r="B1493">
        <v>2</v>
      </c>
      <c r="C1493" t="s">
        <v>60</v>
      </c>
      <c r="D1493">
        <v>4.9000000000000004</v>
      </c>
      <c r="E1493">
        <v>0.26</v>
      </c>
      <c r="F1493">
        <v>350</v>
      </c>
      <c r="G1493">
        <v>100</v>
      </c>
      <c r="H1493" t="s">
        <v>20</v>
      </c>
      <c r="I1493" t="s">
        <v>22</v>
      </c>
      <c r="J1493" t="s">
        <v>22</v>
      </c>
      <c r="K1493">
        <v>0.1207</v>
      </c>
      <c r="L1493">
        <v>3.36</v>
      </c>
      <c r="M1493">
        <v>9.0399999999999991</v>
      </c>
      <c r="N1493" t="s">
        <v>29</v>
      </c>
      <c r="O1493">
        <v>60</v>
      </c>
      <c r="P1493">
        <v>10</v>
      </c>
      <c r="Q1493">
        <v>30</v>
      </c>
      <c r="R1493">
        <v>2</v>
      </c>
      <c r="S1493">
        <v>0.94</v>
      </c>
    </row>
    <row r="1494" spans="1:19" x14ac:dyDescent="0.25">
      <c r="A1494">
        <v>1045</v>
      </c>
      <c r="B1494">
        <v>2</v>
      </c>
      <c r="C1494" t="s">
        <v>28</v>
      </c>
      <c r="D1494">
        <v>4.57</v>
      </c>
      <c r="E1494">
        <v>1.1000000000000001</v>
      </c>
      <c r="F1494">
        <v>340</v>
      </c>
      <c r="G1494">
        <v>101</v>
      </c>
      <c r="H1494" t="s">
        <v>20</v>
      </c>
      <c r="I1494" t="s">
        <v>22</v>
      </c>
      <c r="J1494" t="s">
        <v>22</v>
      </c>
      <c r="K1494">
        <v>0.1207</v>
      </c>
      <c r="L1494">
        <v>3.36</v>
      </c>
      <c r="M1494">
        <v>9.0399999999999991</v>
      </c>
      <c r="N1494" t="s">
        <v>29</v>
      </c>
      <c r="O1494">
        <v>80</v>
      </c>
      <c r="P1494">
        <v>10</v>
      </c>
      <c r="Q1494">
        <v>30</v>
      </c>
      <c r="R1494">
        <v>2</v>
      </c>
      <c r="S1494">
        <v>0.99099999999999999</v>
      </c>
    </row>
    <row r="1495" spans="1:19" x14ac:dyDescent="0.25">
      <c r="A1495">
        <v>1045</v>
      </c>
      <c r="B1495">
        <v>2</v>
      </c>
      <c r="C1495" t="s">
        <v>60</v>
      </c>
      <c r="D1495">
        <v>4.9000000000000004</v>
      </c>
      <c r="E1495">
        <v>0.26</v>
      </c>
      <c r="F1495">
        <v>350</v>
      </c>
      <c r="G1495">
        <v>100</v>
      </c>
      <c r="H1495" t="s">
        <v>20</v>
      </c>
      <c r="I1495" t="s">
        <v>22</v>
      </c>
      <c r="J1495" t="s">
        <v>22</v>
      </c>
      <c r="K1495">
        <v>0.1207</v>
      </c>
      <c r="L1495">
        <v>3.36</v>
      </c>
      <c r="M1495">
        <v>9.0399999999999991</v>
      </c>
      <c r="N1495" t="s">
        <v>29</v>
      </c>
      <c r="O1495">
        <v>80</v>
      </c>
      <c r="P1495">
        <v>10</v>
      </c>
      <c r="Q1495">
        <v>30</v>
      </c>
      <c r="R1495">
        <v>2</v>
      </c>
      <c r="S1495">
        <v>0.95</v>
      </c>
    </row>
    <row r="1496" spans="1:19" x14ac:dyDescent="0.25">
      <c r="A1496">
        <v>1045</v>
      </c>
      <c r="B1496">
        <v>2</v>
      </c>
      <c r="C1496" t="s">
        <v>28</v>
      </c>
      <c r="D1496">
        <v>4.57</v>
      </c>
      <c r="E1496">
        <v>1.1000000000000001</v>
      </c>
      <c r="F1496">
        <v>340</v>
      </c>
      <c r="G1496">
        <v>101</v>
      </c>
      <c r="H1496" t="s">
        <v>20</v>
      </c>
      <c r="I1496" t="s">
        <v>22</v>
      </c>
      <c r="J1496" t="s">
        <v>22</v>
      </c>
      <c r="K1496">
        <v>0.1207</v>
      </c>
      <c r="L1496">
        <v>3.36</v>
      </c>
      <c r="M1496">
        <v>9.0399999999999991</v>
      </c>
      <c r="N1496" t="s">
        <v>29</v>
      </c>
      <c r="O1496">
        <v>100</v>
      </c>
      <c r="P1496">
        <v>10</v>
      </c>
      <c r="Q1496">
        <v>30</v>
      </c>
      <c r="R1496">
        <v>2</v>
      </c>
      <c r="S1496">
        <v>0.99750000000000005</v>
      </c>
    </row>
    <row r="1497" spans="1:19" x14ac:dyDescent="0.25">
      <c r="A1497">
        <v>1045</v>
      </c>
      <c r="B1497">
        <v>2</v>
      </c>
      <c r="C1497" t="s">
        <v>60</v>
      </c>
      <c r="D1497">
        <v>4.9000000000000004</v>
      </c>
      <c r="E1497">
        <v>0.26</v>
      </c>
      <c r="F1497">
        <v>350</v>
      </c>
      <c r="G1497">
        <v>100</v>
      </c>
      <c r="H1497" t="s">
        <v>20</v>
      </c>
      <c r="I1497" t="s">
        <v>22</v>
      </c>
      <c r="J1497" t="s">
        <v>22</v>
      </c>
      <c r="K1497">
        <v>0.1207</v>
      </c>
      <c r="L1497">
        <v>3.36</v>
      </c>
      <c r="M1497">
        <v>9.0399999999999991</v>
      </c>
      <c r="N1497" t="s">
        <v>29</v>
      </c>
      <c r="O1497">
        <v>100</v>
      </c>
      <c r="P1497">
        <v>10</v>
      </c>
      <c r="Q1497">
        <v>30</v>
      </c>
      <c r="R1497">
        <v>2</v>
      </c>
      <c r="S1497">
        <v>0.96640000000000004</v>
      </c>
    </row>
    <row r="1498" spans="1:19" x14ac:dyDescent="0.25">
      <c r="A1498">
        <v>1045</v>
      </c>
      <c r="B1498">
        <v>3</v>
      </c>
      <c r="C1498" t="s">
        <v>28</v>
      </c>
      <c r="D1498">
        <v>4.57</v>
      </c>
      <c r="E1498">
        <v>1.1000000000000001</v>
      </c>
      <c r="F1498">
        <v>340</v>
      </c>
      <c r="G1498">
        <v>101</v>
      </c>
      <c r="H1498" t="s">
        <v>20</v>
      </c>
      <c r="I1498" t="s">
        <v>22</v>
      </c>
      <c r="J1498" t="s">
        <v>22</v>
      </c>
      <c r="K1498">
        <v>0.1207</v>
      </c>
      <c r="L1498">
        <v>3.36</v>
      </c>
      <c r="M1498">
        <v>9.0399999999999991</v>
      </c>
      <c r="N1498" t="s">
        <v>29</v>
      </c>
      <c r="O1498">
        <v>60</v>
      </c>
      <c r="P1498">
        <v>10</v>
      </c>
      <c r="Q1498">
        <v>10</v>
      </c>
      <c r="R1498">
        <v>2</v>
      </c>
      <c r="S1498">
        <v>5.7000000000000002E-2</v>
      </c>
    </row>
    <row r="1499" spans="1:19" x14ac:dyDescent="0.25">
      <c r="A1499">
        <v>1045</v>
      </c>
      <c r="B1499">
        <v>3</v>
      </c>
      <c r="C1499" t="s">
        <v>60</v>
      </c>
      <c r="D1499">
        <v>4.9000000000000004</v>
      </c>
      <c r="E1499">
        <v>0.26</v>
      </c>
      <c r="F1499">
        <v>350</v>
      </c>
      <c r="G1499">
        <v>100</v>
      </c>
      <c r="H1499" t="s">
        <v>20</v>
      </c>
      <c r="I1499" t="s">
        <v>22</v>
      </c>
      <c r="J1499" t="s">
        <v>22</v>
      </c>
      <c r="K1499">
        <v>0.1207</v>
      </c>
      <c r="L1499">
        <v>3.36</v>
      </c>
      <c r="M1499">
        <v>9.0399999999999991</v>
      </c>
      <c r="N1499" t="s">
        <v>29</v>
      </c>
      <c r="O1499">
        <v>60</v>
      </c>
      <c r="P1499">
        <v>10</v>
      </c>
      <c r="Q1499">
        <v>10</v>
      </c>
      <c r="R1499">
        <v>2</v>
      </c>
      <c r="S1499">
        <v>0.108</v>
      </c>
    </row>
    <row r="1500" spans="1:19" x14ac:dyDescent="0.25">
      <c r="A1500">
        <v>1045</v>
      </c>
      <c r="B1500">
        <v>3</v>
      </c>
      <c r="C1500" t="s">
        <v>28</v>
      </c>
      <c r="D1500">
        <v>4.57</v>
      </c>
      <c r="E1500">
        <v>1.1000000000000001</v>
      </c>
      <c r="F1500">
        <v>340</v>
      </c>
      <c r="G1500">
        <v>101</v>
      </c>
      <c r="H1500" t="s">
        <v>20</v>
      </c>
      <c r="I1500" t="s">
        <v>22</v>
      </c>
      <c r="J1500" t="s">
        <v>22</v>
      </c>
      <c r="K1500">
        <v>0.1207</v>
      </c>
      <c r="L1500">
        <v>3.36</v>
      </c>
      <c r="M1500">
        <v>9.0399999999999991</v>
      </c>
      <c r="N1500" t="s">
        <v>29</v>
      </c>
      <c r="O1500">
        <v>60</v>
      </c>
      <c r="P1500">
        <v>10</v>
      </c>
      <c r="Q1500">
        <v>20</v>
      </c>
      <c r="R1500">
        <v>2</v>
      </c>
      <c r="S1500">
        <v>3.0000000000000001E-3</v>
      </c>
    </row>
    <row r="1501" spans="1:19" x14ac:dyDescent="0.25">
      <c r="A1501">
        <v>1045</v>
      </c>
      <c r="B1501">
        <v>3</v>
      </c>
      <c r="C1501" t="s">
        <v>60</v>
      </c>
      <c r="D1501">
        <v>4.9000000000000004</v>
      </c>
      <c r="E1501">
        <v>0.26</v>
      </c>
      <c r="F1501">
        <v>350</v>
      </c>
      <c r="G1501">
        <v>100</v>
      </c>
      <c r="H1501" t="s">
        <v>20</v>
      </c>
      <c r="I1501" t="s">
        <v>22</v>
      </c>
      <c r="J1501" t="s">
        <v>22</v>
      </c>
      <c r="K1501">
        <v>0.1207</v>
      </c>
      <c r="L1501">
        <v>3.36</v>
      </c>
      <c r="M1501">
        <v>9.0399999999999991</v>
      </c>
      <c r="N1501" t="s">
        <v>29</v>
      </c>
      <c r="O1501">
        <v>60</v>
      </c>
      <c r="P1501">
        <v>10</v>
      </c>
      <c r="Q1501">
        <v>20</v>
      </c>
      <c r="R1501">
        <v>2</v>
      </c>
      <c r="S1501">
        <v>1.84E-2</v>
      </c>
    </row>
    <row r="1502" spans="1:19" x14ac:dyDescent="0.25">
      <c r="A1502">
        <v>1045</v>
      </c>
      <c r="B1502">
        <v>3</v>
      </c>
      <c r="C1502" t="s">
        <v>28</v>
      </c>
      <c r="D1502">
        <v>4.57</v>
      </c>
      <c r="E1502">
        <v>1.1000000000000001</v>
      </c>
      <c r="F1502">
        <v>340</v>
      </c>
      <c r="G1502">
        <v>101</v>
      </c>
      <c r="H1502" t="s">
        <v>20</v>
      </c>
      <c r="I1502" t="s">
        <v>22</v>
      </c>
      <c r="J1502" t="s">
        <v>22</v>
      </c>
      <c r="K1502">
        <v>0.1207</v>
      </c>
      <c r="L1502">
        <v>3.36</v>
      </c>
      <c r="M1502">
        <v>9.0399999999999991</v>
      </c>
      <c r="N1502" t="s">
        <v>29</v>
      </c>
      <c r="O1502">
        <v>60</v>
      </c>
      <c r="P1502">
        <v>10</v>
      </c>
      <c r="Q1502">
        <v>30</v>
      </c>
      <c r="R1502">
        <v>2</v>
      </c>
      <c r="S1502">
        <v>0.114</v>
      </c>
    </row>
    <row r="1503" spans="1:19" x14ac:dyDescent="0.25">
      <c r="A1503">
        <v>1045</v>
      </c>
      <c r="B1503">
        <v>3</v>
      </c>
      <c r="C1503" t="s">
        <v>60</v>
      </c>
      <c r="D1503">
        <v>4.9000000000000004</v>
      </c>
      <c r="E1503">
        <v>0.26</v>
      </c>
      <c r="F1503">
        <v>350</v>
      </c>
      <c r="G1503">
        <v>100</v>
      </c>
      <c r="H1503" t="s">
        <v>20</v>
      </c>
      <c r="I1503" t="s">
        <v>22</v>
      </c>
      <c r="J1503" t="s">
        <v>22</v>
      </c>
      <c r="K1503">
        <v>0.1207</v>
      </c>
      <c r="L1503">
        <v>3.36</v>
      </c>
      <c r="M1503">
        <v>9.0399999999999991</v>
      </c>
      <c r="N1503" t="s">
        <v>29</v>
      </c>
      <c r="O1503">
        <v>60</v>
      </c>
      <c r="P1503">
        <v>10</v>
      </c>
      <c r="Q1503">
        <v>30</v>
      </c>
      <c r="R1503">
        <v>2</v>
      </c>
      <c r="S1503">
        <v>4.1700000000000001E-2</v>
      </c>
    </row>
    <row r="1504" spans="1:19" x14ac:dyDescent="0.25">
      <c r="A1504">
        <v>1045</v>
      </c>
      <c r="B1504">
        <v>3</v>
      </c>
      <c r="C1504" t="s">
        <v>28</v>
      </c>
      <c r="D1504">
        <v>4.57</v>
      </c>
      <c r="E1504">
        <v>1.1000000000000001</v>
      </c>
      <c r="F1504">
        <v>340</v>
      </c>
      <c r="G1504">
        <v>101</v>
      </c>
      <c r="H1504" t="s">
        <v>20</v>
      </c>
      <c r="I1504" t="s">
        <v>22</v>
      </c>
      <c r="J1504" t="s">
        <v>22</v>
      </c>
      <c r="K1504">
        <v>0.1207</v>
      </c>
      <c r="L1504">
        <v>3.36</v>
      </c>
      <c r="M1504">
        <v>9.0399999999999991</v>
      </c>
      <c r="N1504" t="s">
        <v>29</v>
      </c>
      <c r="O1504">
        <v>60</v>
      </c>
      <c r="P1504">
        <v>10</v>
      </c>
      <c r="Q1504">
        <v>40</v>
      </c>
      <c r="R1504">
        <v>2</v>
      </c>
      <c r="S1504">
        <v>9.0999999999999998E-2</v>
      </c>
    </row>
    <row r="1505" spans="1:19" x14ac:dyDescent="0.25">
      <c r="A1505">
        <v>1045</v>
      </c>
      <c r="B1505">
        <v>3</v>
      </c>
      <c r="C1505" t="s">
        <v>60</v>
      </c>
      <c r="D1505">
        <v>4.9000000000000004</v>
      </c>
      <c r="E1505">
        <v>0.26</v>
      </c>
      <c r="F1505">
        <v>350</v>
      </c>
      <c r="G1505">
        <v>100</v>
      </c>
      <c r="H1505" t="s">
        <v>20</v>
      </c>
      <c r="I1505" t="s">
        <v>22</v>
      </c>
      <c r="J1505" t="s">
        <v>22</v>
      </c>
      <c r="K1505">
        <v>0.1207</v>
      </c>
      <c r="L1505">
        <v>3.36</v>
      </c>
      <c r="M1505">
        <v>9.0399999999999991</v>
      </c>
      <c r="N1505" t="s">
        <v>29</v>
      </c>
      <c r="O1505">
        <v>60</v>
      </c>
      <c r="P1505">
        <v>10</v>
      </c>
      <c r="Q1505">
        <v>40</v>
      </c>
      <c r="R1505">
        <v>2</v>
      </c>
      <c r="S1505">
        <v>1.46E-2</v>
      </c>
    </row>
    <row r="1506" spans="1:19" x14ac:dyDescent="0.25">
      <c r="A1506">
        <v>1045</v>
      </c>
      <c r="B1506">
        <v>3</v>
      </c>
      <c r="C1506" t="s">
        <v>28</v>
      </c>
      <c r="D1506">
        <v>4.57</v>
      </c>
      <c r="E1506">
        <v>1.1000000000000001</v>
      </c>
      <c r="F1506">
        <v>340</v>
      </c>
      <c r="G1506">
        <v>101</v>
      </c>
      <c r="H1506" t="s">
        <v>20</v>
      </c>
      <c r="I1506" t="s">
        <v>22</v>
      </c>
      <c r="J1506" t="s">
        <v>22</v>
      </c>
      <c r="K1506">
        <v>0.1207</v>
      </c>
      <c r="L1506">
        <v>3.36</v>
      </c>
      <c r="M1506">
        <v>9.0399999999999991</v>
      </c>
      <c r="N1506" t="s">
        <v>29</v>
      </c>
      <c r="O1506">
        <v>60</v>
      </c>
      <c r="P1506">
        <v>10</v>
      </c>
      <c r="Q1506">
        <v>10</v>
      </c>
      <c r="R1506">
        <v>2</v>
      </c>
      <c r="S1506">
        <v>0.39200000000000002</v>
      </c>
    </row>
    <row r="1507" spans="1:19" x14ac:dyDescent="0.25">
      <c r="A1507">
        <v>1045</v>
      </c>
      <c r="B1507">
        <v>3</v>
      </c>
      <c r="C1507" t="s">
        <v>60</v>
      </c>
      <c r="D1507">
        <v>4.9000000000000004</v>
      </c>
      <c r="E1507">
        <v>0.26</v>
      </c>
      <c r="F1507">
        <v>350</v>
      </c>
      <c r="G1507">
        <v>100</v>
      </c>
      <c r="H1507" t="s">
        <v>20</v>
      </c>
      <c r="I1507" t="s">
        <v>22</v>
      </c>
      <c r="J1507" t="s">
        <v>22</v>
      </c>
      <c r="K1507">
        <v>0.1207</v>
      </c>
      <c r="L1507">
        <v>3.36</v>
      </c>
      <c r="M1507">
        <v>9.0399999999999991</v>
      </c>
      <c r="N1507" t="s">
        <v>29</v>
      </c>
      <c r="O1507">
        <v>60</v>
      </c>
      <c r="P1507">
        <v>10</v>
      </c>
      <c r="Q1507">
        <v>10</v>
      </c>
      <c r="R1507">
        <v>2</v>
      </c>
      <c r="S1507">
        <v>9.6199999999999994E-2</v>
      </c>
    </row>
    <row r="1508" spans="1:19" x14ac:dyDescent="0.25">
      <c r="A1508">
        <v>1045</v>
      </c>
      <c r="B1508">
        <v>3</v>
      </c>
      <c r="C1508" t="s">
        <v>28</v>
      </c>
      <c r="D1508">
        <v>4.57</v>
      </c>
      <c r="E1508">
        <v>1.1000000000000001</v>
      </c>
      <c r="F1508">
        <v>340</v>
      </c>
      <c r="G1508">
        <v>101</v>
      </c>
      <c r="H1508" t="s">
        <v>20</v>
      </c>
      <c r="I1508" t="s">
        <v>22</v>
      </c>
      <c r="J1508" t="s">
        <v>22</v>
      </c>
      <c r="K1508">
        <v>0.1207</v>
      </c>
      <c r="L1508">
        <v>3.36</v>
      </c>
      <c r="M1508">
        <v>9.0399999999999991</v>
      </c>
      <c r="N1508" t="s">
        <v>29</v>
      </c>
      <c r="O1508">
        <v>60</v>
      </c>
      <c r="P1508">
        <v>10</v>
      </c>
      <c r="Q1508">
        <v>20</v>
      </c>
      <c r="R1508">
        <v>2</v>
      </c>
      <c r="S1508">
        <v>0.89100000000000001</v>
      </c>
    </row>
    <row r="1509" spans="1:19" x14ac:dyDescent="0.25">
      <c r="A1509">
        <v>1045</v>
      </c>
      <c r="B1509">
        <v>3</v>
      </c>
      <c r="C1509" t="s">
        <v>60</v>
      </c>
      <c r="D1509">
        <v>4.9000000000000004</v>
      </c>
      <c r="E1509">
        <v>0.26</v>
      </c>
      <c r="F1509">
        <v>350</v>
      </c>
      <c r="G1509">
        <v>100</v>
      </c>
      <c r="H1509" t="s">
        <v>20</v>
      </c>
      <c r="I1509" t="s">
        <v>22</v>
      </c>
      <c r="J1509" t="s">
        <v>22</v>
      </c>
      <c r="K1509">
        <v>0.1207</v>
      </c>
      <c r="L1509">
        <v>3.36</v>
      </c>
      <c r="M1509">
        <v>9.0399999999999991</v>
      </c>
      <c r="N1509" t="s">
        <v>29</v>
      </c>
      <c r="O1509">
        <v>60</v>
      </c>
      <c r="P1509">
        <v>10</v>
      </c>
      <c r="Q1509">
        <v>20</v>
      </c>
      <c r="R1509">
        <v>2</v>
      </c>
      <c r="S1509">
        <v>0.86739999999999995</v>
      </c>
    </row>
    <row r="1510" spans="1:19" x14ac:dyDescent="0.25">
      <c r="A1510">
        <v>1045</v>
      </c>
      <c r="B1510">
        <v>3</v>
      </c>
      <c r="C1510" t="s">
        <v>28</v>
      </c>
      <c r="D1510">
        <v>4.57</v>
      </c>
      <c r="E1510">
        <v>1.1000000000000001</v>
      </c>
      <c r="F1510">
        <v>340</v>
      </c>
      <c r="G1510">
        <v>101</v>
      </c>
      <c r="H1510" t="s">
        <v>20</v>
      </c>
      <c r="I1510" t="s">
        <v>22</v>
      </c>
      <c r="J1510" t="s">
        <v>22</v>
      </c>
      <c r="K1510">
        <v>0.1207</v>
      </c>
      <c r="L1510">
        <v>3.36</v>
      </c>
      <c r="M1510">
        <v>9.0399999999999991</v>
      </c>
      <c r="N1510" t="s">
        <v>29</v>
      </c>
      <c r="O1510">
        <v>60</v>
      </c>
      <c r="P1510">
        <v>10</v>
      </c>
      <c r="Q1510">
        <v>30</v>
      </c>
      <c r="R1510">
        <v>2</v>
      </c>
      <c r="S1510">
        <v>0.98340000000000005</v>
      </c>
    </row>
    <row r="1511" spans="1:19" x14ac:dyDescent="0.25">
      <c r="A1511">
        <v>1045</v>
      </c>
      <c r="B1511">
        <v>3</v>
      </c>
      <c r="C1511" t="s">
        <v>60</v>
      </c>
      <c r="D1511">
        <v>4.9000000000000004</v>
      </c>
      <c r="E1511">
        <v>0.26</v>
      </c>
      <c r="F1511">
        <v>350</v>
      </c>
      <c r="G1511">
        <v>100</v>
      </c>
      <c r="H1511" t="s">
        <v>20</v>
      </c>
      <c r="I1511" t="s">
        <v>22</v>
      </c>
      <c r="J1511" t="s">
        <v>22</v>
      </c>
      <c r="K1511">
        <v>0.1207</v>
      </c>
      <c r="L1511">
        <v>3.36</v>
      </c>
      <c r="M1511">
        <v>9.0399999999999991</v>
      </c>
      <c r="N1511" t="s">
        <v>29</v>
      </c>
      <c r="O1511">
        <v>60</v>
      </c>
      <c r="P1511">
        <v>10</v>
      </c>
      <c r="Q1511">
        <v>30</v>
      </c>
      <c r="R1511">
        <v>2</v>
      </c>
      <c r="S1511">
        <v>0.93820000000000003</v>
      </c>
    </row>
    <row r="1512" spans="1:19" x14ac:dyDescent="0.25">
      <c r="A1512">
        <v>1045</v>
      </c>
      <c r="B1512">
        <v>3</v>
      </c>
      <c r="C1512" t="s">
        <v>28</v>
      </c>
      <c r="D1512">
        <v>4.57</v>
      </c>
      <c r="E1512">
        <v>1.1000000000000001</v>
      </c>
      <c r="F1512">
        <v>340</v>
      </c>
      <c r="G1512">
        <v>101</v>
      </c>
      <c r="H1512" t="s">
        <v>20</v>
      </c>
      <c r="I1512" t="s">
        <v>22</v>
      </c>
      <c r="J1512" t="s">
        <v>22</v>
      </c>
      <c r="K1512">
        <v>0.1207</v>
      </c>
      <c r="L1512">
        <v>3.36</v>
      </c>
      <c r="M1512">
        <v>9.0399999999999991</v>
      </c>
      <c r="N1512" t="s">
        <v>29</v>
      </c>
      <c r="O1512">
        <v>60</v>
      </c>
      <c r="P1512">
        <v>10</v>
      </c>
      <c r="Q1512">
        <v>40</v>
      </c>
      <c r="R1512">
        <v>2</v>
      </c>
      <c r="S1512">
        <v>0.105</v>
      </c>
    </row>
    <row r="1513" spans="1:19" x14ac:dyDescent="0.25">
      <c r="A1513">
        <v>1045</v>
      </c>
      <c r="B1513">
        <v>3</v>
      </c>
      <c r="C1513" t="s">
        <v>60</v>
      </c>
      <c r="D1513">
        <v>4.9000000000000004</v>
      </c>
      <c r="E1513">
        <v>0.26</v>
      </c>
      <c r="F1513">
        <v>350</v>
      </c>
      <c r="G1513">
        <v>100</v>
      </c>
      <c r="H1513" t="s">
        <v>20</v>
      </c>
      <c r="I1513" t="s">
        <v>22</v>
      </c>
      <c r="J1513" t="s">
        <v>22</v>
      </c>
      <c r="K1513">
        <v>0.1207</v>
      </c>
      <c r="L1513">
        <v>3.36</v>
      </c>
      <c r="M1513">
        <v>9.0399999999999991</v>
      </c>
      <c r="N1513" t="s">
        <v>29</v>
      </c>
      <c r="O1513">
        <v>60</v>
      </c>
      <c r="P1513">
        <v>10</v>
      </c>
      <c r="Q1513">
        <v>40</v>
      </c>
      <c r="R1513">
        <v>2</v>
      </c>
      <c r="S1513">
        <v>6.7999999999999996E-3</v>
      </c>
    </row>
    <row r="1514" spans="1:19" x14ac:dyDescent="0.25">
      <c r="A1514">
        <v>1045</v>
      </c>
      <c r="B1514">
        <v>4</v>
      </c>
      <c r="C1514" t="s">
        <v>28</v>
      </c>
      <c r="D1514">
        <v>4.57</v>
      </c>
      <c r="E1514">
        <v>1.1000000000000001</v>
      </c>
      <c r="F1514">
        <v>340</v>
      </c>
      <c r="G1514">
        <v>101</v>
      </c>
      <c r="H1514" t="s">
        <v>20</v>
      </c>
      <c r="I1514" t="s">
        <v>22</v>
      </c>
      <c r="J1514" t="s">
        <v>22</v>
      </c>
      <c r="K1514">
        <v>0.1207</v>
      </c>
      <c r="L1514">
        <v>3.36</v>
      </c>
      <c r="M1514">
        <v>9.0399999999999991</v>
      </c>
      <c r="N1514" t="s">
        <v>29</v>
      </c>
      <c r="O1514">
        <v>60</v>
      </c>
      <c r="P1514">
        <v>10</v>
      </c>
      <c r="Q1514">
        <v>30</v>
      </c>
      <c r="R1514">
        <v>2</v>
      </c>
      <c r="S1514">
        <v>0.1007</v>
      </c>
    </row>
    <row r="1515" spans="1:19" x14ac:dyDescent="0.25">
      <c r="A1515">
        <v>1045</v>
      </c>
      <c r="B1515">
        <v>4</v>
      </c>
      <c r="C1515" t="s">
        <v>60</v>
      </c>
      <c r="D1515">
        <v>4.9000000000000004</v>
      </c>
      <c r="E1515">
        <v>0.26</v>
      </c>
      <c r="F1515">
        <v>350</v>
      </c>
      <c r="G1515">
        <v>100</v>
      </c>
      <c r="H1515" t="s">
        <v>20</v>
      </c>
      <c r="I1515" t="s">
        <v>22</v>
      </c>
      <c r="J1515" t="s">
        <v>22</v>
      </c>
      <c r="K1515">
        <v>0.1207</v>
      </c>
      <c r="L1515">
        <v>3.36</v>
      </c>
      <c r="M1515">
        <v>9.0399999999999991</v>
      </c>
      <c r="N1515" t="s">
        <v>29</v>
      </c>
      <c r="O1515">
        <v>60</v>
      </c>
      <c r="P1515">
        <v>10</v>
      </c>
      <c r="Q1515">
        <v>30</v>
      </c>
      <c r="R1515">
        <v>2</v>
      </c>
      <c r="S1515">
        <v>7.0400000000000004E-2</v>
      </c>
    </row>
    <row r="1516" spans="1:19" x14ac:dyDescent="0.25">
      <c r="A1516">
        <v>1045</v>
      </c>
      <c r="B1516">
        <v>4</v>
      </c>
      <c r="C1516" t="s">
        <v>28</v>
      </c>
      <c r="D1516">
        <v>4.57</v>
      </c>
      <c r="E1516">
        <v>1.1000000000000001</v>
      </c>
      <c r="F1516">
        <v>340</v>
      </c>
      <c r="G1516">
        <v>101</v>
      </c>
      <c r="H1516" t="s">
        <v>20</v>
      </c>
      <c r="I1516" t="s">
        <v>22</v>
      </c>
      <c r="J1516" t="s">
        <v>22</v>
      </c>
      <c r="K1516">
        <v>0.1207</v>
      </c>
      <c r="L1516">
        <v>3.36</v>
      </c>
      <c r="M1516">
        <v>9.0399999999999991</v>
      </c>
      <c r="N1516" t="s">
        <v>29</v>
      </c>
      <c r="O1516">
        <v>60</v>
      </c>
      <c r="P1516">
        <v>20</v>
      </c>
      <c r="Q1516">
        <v>30</v>
      </c>
      <c r="R1516">
        <v>2</v>
      </c>
      <c r="S1516">
        <v>0.13139999999999999</v>
      </c>
    </row>
    <row r="1517" spans="1:19" x14ac:dyDescent="0.25">
      <c r="A1517">
        <v>1045</v>
      </c>
      <c r="B1517">
        <v>4</v>
      </c>
      <c r="C1517" t="s">
        <v>60</v>
      </c>
      <c r="D1517">
        <v>4.9000000000000004</v>
      </c>
      <c r="E1517">
        <v>0.26</v>
      </c>
      <c r="F1517">
        <v>350</v>
      </c>
      <c r="G1517">
        <v>100</v>
      </c>
      <c r="H1517" t="s">
        <v>20</v>
      </c>
      <c r="I1517" t="s">
        <v>22</v>
      </c>
      <c r="J1517" t="s">
        <v>22</v>
      </c>
      <c r="K1517">
        <v>0.1207</v>
      </c>
      <c r="L1517">
        <v>3.36</v>
      </c>
      <c r="M1517">
        <v>9.0399999999999991</v>
      </c>
      <c r="N1517" t="s">
        <v>29</v>
      </c>
      <c r="O1517">
        <v>60</v>
      </c>
      <c r="P1517">
        <v>20</v>
      </c>
      <c r="Q1517">
        <v>30</v>
      </c>
      <c r="R1517">
        <v>2</v>
      </c>
      <c r="S1517">
        <v>0.2147</v>
      </c>
    </row>
    <row r="1518" spans="1:19" x14ac:dyDescent="0.25">
      <c r="A1518">
        <v>1045</v>
      </c>
      <c r="B1518">
        <v>4</v>
      </c>
      <c r="C1518" t="s">
        <v>28</v>
      </c>
      <c r="D1518">
        <v>4.57</v>
      </c>
      <c r="E1518">
        <v>1.1000000000000001</v>
      </c>
      <c r="F1518">
        <v>340</v>
      </c>
      <c r="G1518">
        <v>101</v>
      </c>
      <c r="H1518" t="s">
        <v>20</v>
      </c>
      <c r="I1518" t="s">
        <v>22</v>
      </c>
      <c r="J1518" t="s">
        <v>22</v>
      </c>
      <c r="K1518">
        <v>0.1207</v>
      </c>
      <c r="L1518">
        <v>3.36</v>
      </c>
      <c r="M1518">
        <v>9.0399999999999991</v>
      </c>
      <c r="N1518" t="s">
        <v>29</v>
      </c>
      <c r="O1518">
        <v>60</v>
      </c>
      <c r="P1518">
        <v>30</v>
      </c>
      <c r="Q1518">
        <v>30</v>
      </c>
      <c r="R1518">
        <v>2</v>
      </c>
      <c r="S1518">
        <v>0.2752</v>
      </c>
    </row>
    <row r="1519" spans="1:19" x14ac:dyDescent="0.25">
      <c r="A1519">
        <v>1045</v>
      </c>
      <c r="B1519">
        <v>4</v>
      </c>
      <c r="C1519" t="s">
        <v>60</v>
      </c>
      <c r="D1519">
        <v>4.9000000000000004</v>
      </c>
      <c r="E1519">
        <v>0.26</v>
      </c>
      <c r="F1519">
        <v>350</v>
      </c>
      <c r="G1519">
        <v>100</v>
      </c>
      <c r="H1519" t="s">
        <v>20</v>
      </c>
      <c r="I1519" t="s">
        <v>22</v>
      </c>
      <c r="J1519" t="s">
        <v>22</v>
      </c>
      <c r="K1519">
        <v>0.1207</v>
      </c>
      <c r="L1519">
        <v>3.36</v>
      </c>
      <c r="M1519">
        <v>9.0399999999999991</v>
      </c>
      <c r="N1519" t="s">
        <v>29</v>
      </c>
      <c r="O1519">
        <v>60</v>
      </c>
      <c r="P1519">
        <v>30</v>
      </c>
      <c r="Q1519">
        <v>30</v>
      </c>
      <c r="R1519">
        <v>2</v>
      </c>
      <c r="S1519">
        <v>0.2248</v>
      </c>
    </row>
    <row r="1520" spans="1:19" x14ac:dyDescent="0.25">
      <c r="A1520">
        <v>1045</v>
      </c>
      <c r="B1520">
        <v>4</v>
      </c>
      <c r="C1520" t="s">
        <v>28</v>
      </c>
      <c r="D1520">
        <v>4.57</v>
      </c>
      <c r="E1520">
        <v>1.1000000000000001</v>
      </c>
      <c r="F1520">
        <v>340</v>
      </c>
      <c r="G1520">
        <v>101</v>
      </c>
      <c r="H1520" t="s">
        <v>20</v>
      </c>
      <c r="I1520" t="s">
        <v>22</v>
      </c>
      <c r="J1520" t="s">
        <v>22</v>
      </c>
      <c r="K1520">
        <v>0.1207</v>
      </c>
      <c r="L1520">
        <v>3.36</v>
      </c>
      <c r="M1520">
        <v>9.0399999999999991</v>
      </c>
      <c r="N1520" t="s">
        <v>29</v>
      </c>
      <c r="O1520">
        <v>60</v>
      </c>
      <c r="P1520">
        <v>40</v>
      </c>
      <c r="Q1520">
        <v>30</v>
      </c>
      <c r="R1520">
        <v>2</v>
      </c>
      <c r="S1520">
        <v>7.3899999999999993E-2</v>
      </c>
    </row>
    <row r="1521" spans="1:19" x14ac:dyDescent="0.25">
      <c r="A1521">
        <v>1045</v>
      </c>
      <c r="B1521">
        <v>4</v>
      </c>
      <c r="C1521" t="s">
        <v>60</v>
      </c>
      <c r="D1521">
        <v>4.9000000000000004</v>
      </c>
      <c r="E1521">
        <v>0.26</v>
      </c>
      <c r="F1521">
        <v>350</v>
      </c>
      <c r="G1521">
        <v>100</v>
      </c>
      <c r="H1521" t="s">
        <v>20</v>
      </c>
      <c r="I1521" t="s">
        <v>22</v>
      </c>
      <c r="J1521" t="s">
        <v>22</v>
      </c>
      <c r="K1521">
        <v>0.1207</v>
      </c>
      <c r="L1521">
        <v>3.36</v>
      </c>
      <c r="M1521">
        <v>9.0399999999999991</v>
      </c>
      <c r="N1521" t="s">
        <v>29</v>
      </c>
      <c r="O1521">
        <v>60</v>
      </c>
      <c r="P1521">
        <v>40</v>
      </c>
      <c r="Q1521">
        <v>30</v>
      </c>
      <c r="R1521">
        <v>2</v>
      </c>
      <c r="S1521">
        <v>7.4999999999999997E-2</v>
      </c>
    </row>
    <row r="1522" spans="1:19" x14ac:dyDescent="0.25">
      <c r="A1522">
        <v>1045</v>
      </c>
      <c r="B1522">
        <v>4</v>
      </c>
      <c r="C1522" t="s">
        <v>28</v>
      </c>
      <c r="D1522">
        <v>4.57</v>
      </c>
      <c r="E1522">
        <v>1.1000000000000001</v>
      </c>
      <c r="F1522">
        <v>340</v>
      </c>
      <c r="G1522">
        <v>101</v>
      </c>
      <c r="H1522" t="s">
        <v>20</v>
      </c>
      <c r="I1522" t="s">
        <v>22</v>
      </c>
      <c r="J1522" t="s">
        <v>22</v>
      </c>
      <c r="K1522">
        <v>0.1207</v>
      </c>
      <c r="L1522">
        <v>3.36</v>
      </c>
      <c r="M1522">
        <v>9.0399999999999991</v>
      </c>
      <c r="N1522" t="s">
        <v>29</v>
      </c>
      <c r="O1522">
        <v>60</v>
      </c>
      <c r="P1522">
        <v>10</v>
      </c>
      <c r="Q1522">
        <v>30</v>
      </c>
      <c r="R1522">
        <v>2</v>
      </c>
      <c r="S1522">
        <v>0.98340000000000005</v>
      </c>
    </row>
    <row r="1523" spans="1:19" x14ac:dyDescent="0.25">
      <c r="A1523">
        <v>1045</v>
      </c>
      <c r="B1523">
        <v>4</v>
      </c>
      <c r="C1523" t="s">
        <v>60</v>
      </c>
      <c r="D1523">
        <v>4.9000000000000004</v>
      </c>
      <c r="E1523">
        <v>0.26</v>
      </c>
      <c r="F1523">
        <v>350</v>
      </c>
      <c r="G1523">
        <v>100</v>
      </c>
      <c r="H1523" t="s">
        <v>20</v>
      </c>
      <c r="I1523" t="s">
        <v>22</v>
      </c>
      <c r="J1523" t="s">
        <v>22</v>
      </c>
      <c r="K1523">
        <v>0.1207</v>
      </c>
      <c r="L1523">
        <v>3.36</v>
      </c>
      <c r="M1523">
        <v>9.0399999999999991</v>
      </c>
      <c r="N1523" t="s">
        <v>29</v>
      </c>
      <c r="O1523">
        <v>60</v>
      </c>
      <c r="P1523">
        <v>10</v>
      </c>
      <c r="Q1523">
        <v>30</v>
      </c>
      <c r="R1523">
        <v>2</v>
      </c>
      <c r="S1523">
        <v>0.93820000000000003</v>
      </c>
    </row>
    <row r="1524" spans="1:19" x14ac:dyDescent="0.25">
      <c r="A1524">
        <v>1045</v>
      </c>
      <c r="B1524">
        <v>4</v>
      </c>
      <c r="C1524" t="s">
        <v>28</v>
      </c>
      <c r="D1524">
        <v>4.57</v>
      </c>
      <c r="E1524">
        <v>1.1000000000000001</v>
      </c>
      <c r="F1524">
        <v>350</v>
      </c>
      <c r="G1524">
        <v>100</v>
      </c>
      <c r="H1524" t="s">
        <v>20</v>
      </c>
      <c r="I1524" t="s">
        <v>22</v>
      </c>
      <c r="J1524" t="s">
        <v>22</v>
      </c>
      <c r="K1524">
        <v>0.1207</v>
      </c>
      <c r="L1524">
        <v>3.36</v>
      </c>
      <c r="M1524">
        <v>9.0399999999999991</v>
      </c>
      <c r="N1524" t="s">
        <v>29</v>
      </c>
      <c r="O1524">
        <v>60</v>
      </c>
      <c r="P1524">
        <v>20</v>
      </c>
      <c r="Q1524">
        <v>30</v>
      </c>
      <c r="R1524">
        <v>2</v>
      </c>
      <c r="S1524">
        <v>8.0600000000000005E-2</v>
      </c>
    </row>
    <row r="1525" spans="1:19" x14ac:dyDescent="0.25">
      <c r="A1525">
        <v>1045</v>
      </c>
      <c r="B1525">
        <v>4</v>
      </c>
      <c r="C1525" t="s">
        <v>60</v>
      </c>
      <c r="D1525">
        <v>4.9000000000000004</v>
      </c>
      <c r="E1525">
        <v>0.26</v>
      </c>
      <c r="F1525">
        <v>350</v>
      </c>
      <c r="G1525">
        <v>100</v>
      </c>
      <c r="H1525" t="s">
        <v>20</v>
      </c>
      <c r="I1525" t="s">
        <v>22</v>
      </c>
      <c r="J1525" t="s">
        <v>22</v>
      </c>
      <c r="K1525">
        <v>0.1207</v>
      </c>
      <c r="L1525">
        <v>3.36</v>
      </c>
      <c r="M1525">
        <v>9.0399999999999991</v>
      </c>
      <c r="N1525" t="s">
        <v>29</v>
      </c>
      <c r="O1525">
        <v>60</v>
      </c>
      <c r="P1525">
        <v>20</v>
      </c>
      <c r="Q1525">
        <v>30</v>
      </c>
      <c r="R1525">
        <v>2</v>
      </c>
      <c r="S1525">
        <v>0.2359</v>
      </c>
    </row>
    <row r="1526" spans="1:19" x14ac:dyDescent="0.25">
      <c r="A1526">
        <v>1045</v>
      </c>
      <c r="B1526">
        <v>4</v>
      </c>
      <c r="C1526" t="s">
        <v>28</v>
      </c>
      <c r="D1526">
        <v>4.57</v>
      </c>
      <c r="E1526">
        <v>1.1000000000000001</v>
      </c>
      <c r="F1526">
        <v>340</v>
      </c>
      <c r="G1526">
        <v>101</v>
      </c>
      <c r="H1526" t="s">
        <v>20</v>
      </c>
      <c r="I1526" t="s">
        <v>22</v>
      </c>
      <c r="J1526" t="s">
        <v>22</v>
      </c>
      <c r="K1526">
        <v>0.1207</v>
      </c>
      <c r="L1526">
        <v>3.36</v>
      </c>
      <c r="M1526">
        <v>9.0399999999999991</v>
      </c>
      <c r="N1526" t="s">
        <v>29</v>
      </c>
      <c r="O1526">
        <v>60</v>
      </c>
      <c r="P1526">
        <v>30</v>
      </c>
      <c r="Q1526">
        <v>30</v>
      </c>
      <c r="R1526">
        <v>2</v>
      </c>
      <c r="S1526">
        <v>0.33950000000000002</v>
      </c>
    </row>
    <row r="1527" spans="1:19" x14ac:dyDescent="0.25">
      <c r="A1527">
        <v>1045</v>
      </c>
      <c r="B1527">
        <v>4</v>
      </c>
      <c r="C1527" t="s">
        <v>60</v>
      </c>
      <c r="D1527">
        <v>4.9000000000000004</v>
      </c>
      <c r="E1527">
        <v>0.26</v>
      </c>
      <c r="F1527">
        <v>350</v>
      </c>
      <c r="G1527">
        <v>100</v>
      </c>
      <c r="H1527" t="s">
        <v>20</v>
      </c>
      <c r="I1527" t="s">
        <v>22</v>
      </c>
      <c r="J1527" t="s">
        <v>22</v>
      </c>
      <c r="K1527">
        <v>0.1207</v>
      </c>
      <c r="L1527">
        <v>3.36</v>
      </c>
      <c r="M1527">
        <v>9.0399999999999991</v>
      </c>
      <c r="N1527" t="s">
        <v>29</v>
      </c>
      <c r="O1527">
        <v>60</v>
      </c>
      <c r="P1527">
        <v>30</v>
      </c>
      <c r="Q1527">
        <v>30</v>
      </c>
      <c r="R1527">
        <v>2</v>
      </c>
      <c r="S1527">
        <v>0.20630000000000001</v>
      </c>
    </row>
    <row r="1528" spans="1:19" x14ac:dyDescent="0.25">
      <c r="A1528">
        <v>1045</v>
      </c>
      <c r="B1528">
        <v>4</v>
      </c>
      <c r="C1528" t="s">
        <v>28</v>
      </c>
      <c r="D1528">
        <v>4.57</v>
      </c>
      <c r="E1528">
        <v>1.1000000000000001</v>
      </c>
      <c r="F1528">
        <v>340</v>
      </c>
      <c r="G1528">
        <v>101</v>
      </c>
      <c r="H1528" t="s">
        <v>20</v>
      </c>
      <c r="I1528" t="s">
        <v>22</v>
      </c>
      <c r="J1528" t="s">
        <v>22</v>
      </c>
      <c r="K1528">
        <v>0.1207</v>
      </c>
      <c r="L1528">
        <v>3.36</v>
      </c>
      <c r="M1528">
        <v>9.0399999999999991</v>
      </c>
      <c r="N1528" t="s">
        <v>29</v>
      </c>
      <c r="O1528">
        <v>60</v>
      </c>
      <c r="P1528">
        <v>40</v>
      </c>
      <c r="Q1528">
        <v>30</v>
      </c>
      <c r="R1528">
        <v>2</v>
      </c>
      <c r="S1528">
        <v>0.14099999999999999</v>
      </c>
    </row>
    <row r="1529" spans="1:19" x14ac:dyDescent="0.25">
      <c r="A1529">
        <v>1045</v>
      </c>
      <c r="B1529">
        <v>4</v>
      </c>
      <c r="C1529" t="s">
        <v>60</v>
      </c>
      <c r="D1529">
        <v>4.9000000000000004</v>
      </c>
      <c r="E1529">
        <v>0.26</v>
      </c>
      <c r="F1529">
        <v>350</v>
      </c>
      <c r="G1529">
        <v>100</v>
      </c>
      <c r="H1529" t="s">
        <v>20</v>
      </c>
      <c r="I1529" t="s">
        <v>22</v>
      </c>
      <c r="J1529" t="s">
        <v>22</v>
      </c>
      <c r="K1529">
        <v>0.1207</v>
      </c>
      <c r="L1529">
        <v>3.36</v>
      </c>
      <c r="M1529">
        <v>9.0399999999999991</v>
      </c>
      <c r="N1529" t="s">
        <v>29</v>
      </c>
      <c r="O1529">
        <v>60</v>
      </c>
      <c r="P1529">
        <v>40</v>
      </c>
      <c r="Q1529">
        <v>30</v>
      </c>
      <c r="R1529">
        <v>2</v>
      </c>
      <c r="S1529">
        <v>0.1767</v>
      </c>
    </row>
    <row r="1530" spans="1:19" x14ac:dyDescent="0.25">
      <c r="A1530">
        <v>1045</v>
      </c>
      <c r="B1530">
        <v>4</v>
      </c>
      <c r="C1530" t="s">
        <v>28</v>
      </c>
      <c r="D1530">
        <v>4.57</v>
      </c>
      <c r="E1530">
        <v>1.1000000000000001</v>
      </c>
      <c r="F1530">
        <v>340</v>
      </c>
      <c r="G1530">
        <v>101</v>
      </c>
      <c r="H1530" t="s">
        <v>20</v>
      </c>
      <c r="I1530" t="s">
        <v>22</v>
      </c>
      <c r="J1530" t="s">
        <v>22</v>
      </c>
      <c r="K1530">
        <v>0.1285</v>
      </c>
      <c r="L1530">
        <v>3.82</v>
      </c>
      <c r="M1530">
        <v>8.66</v>
      </c>
      <c r="N1530" t="s">
        <v>29</v>
      </c>
      <c r="O1530">
        <v>60</v>
      </c>
      <c r="P1530">
        <v>10</v>
      </c>
      <c r="Q1530">
        <v>30</v>
      </c>
      <c r="R1530">
        <v>2</v>
      </c>
      <c r="S1530">
        <v>3.6400000000000002E-2</v>
      </c>
    </row>
    <row r="1531" spans="1:19" x14ac:dyDescent="0.25">
      <c r="A1531">
        <v>1045</v>
      </c>
      <c r="B1531">
        <v>5</v>
      </c>
      <c r="C1531" t="s">
        <v>60</v>
      </c>
      <c r="D1531">
        <v>4.9000000000000004</v>
      </c>
      <c r="E1531">
        <v>0.26</v>
      </c>
      <c r="F1531">
        <v>350</v>
      </c>
      <c r="G1531">
        <v>100</v>
      </c>
      <c r="H1531" t="s">
        <v>20</v>
      </c>
      <c r="I1531" t="s">
        <v>22</v>
      </c>
      <c r="J1531" t="s">
        <v>22</v>
      </c>
      <c r="K1531">
        <v>0.1285</v>
      </c>
      <c r="L1531">
        <v>3.82</v>
      </c>
      <c r="M1531">
        <v>8.66</v>
      </c>
      <c r="N1531" t="s">
        <v>29</v>
      </c>
      <c r="O1531">
        <v>60</v>
      </c>
      <c r="P1531">
        <v>10</v>
      </c>
      <c r="Q1531">
        <v>30</v>
      </c>
      <c r="R1531">
        <v>2</v>
      </c>
      <c r="S1531">
        <v>5.2299999999999999E-2</v>
      </c>
    </row>
    <row r="1532" spans="1:19" x14ac:dyDescent="0.25">
      <c r="A1532">
        <v>1045</v>
      </c>
      <c r="B1532">
        <v>5</v>
      </c>
      <c r="C1532" t="s">
        <v>28</v>
      </c>
      <c r="D1532">
        <v>4.57</v>
      </c>
      <c r="E1532">
        <v>1.1000000000000001</v>
      </c>
      <c r="F1532">
        <v>340</v>
      </c>
      <c r="G1532">
        <v>101</v>
      </c>
      <c r="H1532" t="s">
        <v>20</v>
      </c>
      <c r="I1532" t="s">
        <v>22</v>
      </c>
      <c r="J1532" t="s">
        <v>22</v>
      </c>
      <c r="K1532">
        <v>8.4699999999999998E-2</v>
      </c>
      <c r="L1532">
        <v>1.6</v>
      </c>
      <c r="M1532">
        <v>7.91</v>
      </c>
      <c r="N1532" t="s">
        <v>29</v>
      </c>
      <c r="O1532">
        <v>60</v>
      </c>
      <c r="P1532">
        <v>10</v>
      </c>
      <c r="Q1532">
        <v>30</v>
      </c>
      <c r="R1532">
        <v>30</v>
      </c>
      <c r="S1532">
        <v>0.57630000000000003</v>
      </c>
    </row>
    <row r="1533" spans="1:19" x14ac:dyDescent="0.25">
      <c r="A1533">
        <v>1045</v>
      </c>
      <c r="B1533">
        <v>5</v>
      </c>
      <c r="C1533" t="s">
        <v>60</v>
      </c>
      <c r="D1533">
        <v>4.9000000000000004</v>
      </c>
      <c r="E1533">
        <v>0.26</v>
      </c>
      <c r="F1533">
        <v>350</v>
      </c>
      <c r="G1533">
        <v>100</v>
      </c>
      <c r="H1533" t="s">
        <v>20</v>
      </c>
      <c r="I1533" t="s">
        <v>22</v>
      </c>
      <c r="J1533" t="s">
        <v>22</v>
      </c>
      <c r="K1533">
        <v>8.4699999999999998E-2</v>
      </c>
      <c r="L1533">
        <v>1.6</v>
      </c>
      <c r="M1533">
        <v>7.91</v>
      </c>
      <c r="N1533" t="s">
        <v>29</v>
      </c>
      <c r="O1533">
        <v>60</v>
      </c>
      <c r="P1533">
        <v>10</v>
      </c>
      <c r="Q1533">
        <v>30</v>
      </c>
      <c r="R1533">
        <v>30</v>
      </c>
      <c r="S1533">
        <v>0.69820000000000004</v>
      </c>
    </row>
    <row r="1534" spans="1:19" x14ac:dyDescent="0.25">
      <c r="A1534">
        <v>1045</v>
      </c>
      <c r="B1534">
        <v>5</v>
      </c>
      <c r="C1534" t="s">
        <v>28</v>
      </c>
      <c r="D1534">
        <v>4.57</v>
      </c>
      <c r="E1534">
        <v>1.1000000000000001</v>
      </c>
      <c r="F1534">
        <v>340</v>
      </c>
      <c r="G1534">
        <v>101</v>
      </c>
      <c r="H1534" t="s">
        <v>20</v>
      </c>
      <c r="I1534" t="s">
        <v>22</v>
      </c>
      <c r="J1534" t="s">
        <v>22</v>
      </c>
      <c r="K1534">
        <v>0.26290000000000002</v>
      </c>
      <c r="L1534">
        <v>3.99</v>
      </c>
      <c r="M1534">
        <v>8.56</v>
      </c>
      <c r="N1534" t="s">
        <v>29</v>
      </c>
      <c r="O1534">
        <v>60</v>
      </c>
      <c r="P1534">
        <v>10</v>
      </c>
      <c r="Q1534">
        <v>30</v>
      </c>
      <c r="R1534">
        <v>2</v>
      </c>
      <c r="S1534">
        <v>0.36580000000000001</v>
      </c>
    </row>
    <row r="1535" spans="1:19" x14ac:dyDescent="0.25">
      <c r="A1535">
        <v>1045</v>
      </c>
      <c r="B1535">
        <v>5</v>
      </c>
      <c r="C1535" t="s">
        <v>60</v>
      </c>
      <c r="D1535">
        <v>4.9000000000000004</v>
      </c>
      <c r="E1535">
        <v>0.26</v>
      </c>
      <c r="F1535">
        <v>350</v>
      </c>
      <c r="G1535">
        <v>100</v>
      </c>
      <c r="H1535" t="s">
        <v>20</v>
      </c>
      <c r="I1535" t="s">
        <v>22</v>
      </c>
      <c r="J1535" t="s">
        <v>22</v>
      </c>
      <c r="K1535">
        <v>0.26290000000000002</v>
      </c>
      <c r="L1535">
        <v>3.99</v>
      </c>
      <c r="M1535">
        <v>8.56</v>
      </c>
      <c r="N1535" t="s">
        <v>29</v>
      </c>
      <c r="O1535">
        <v>60</v>
      </c>
      <c r="P1535">
        <v>10</v>
      </c>
      <c r="Q1535">
        <v>30</v>
      </c>
      <c r="R1535">
        <v>2</v>
      </c>
      <c r="S1535">
        <v>0.1201</v>
      </c>
    </row>
    <row r="1536" spans="1:19" x14ac:dyDescent="0.25">
      <c r="A1536">
        <v>1045</v>
      </c>
      <c r="B1536">
        <v>5</v>
      </c>
      <c r="C1536" t="s">
        <v>28</v>
      </c>
      <c r="D1536">
        <v>4.57</v>
      </c>
      <c r="E1536">
        <v>1.1000000000000001</v>
      </c>
      <c r="F1536">
        <v>340</v>
      </c>
      <c r="G1536">
        <v>101</v>
      </c>
      <c r="H1536" t="s">
        <v>20</v>
      </c>
      <c r="I1536" t="s">
        <v>22</v>
      </c>
      <c r="J1536" t="s">
        <v>22</v>
      </c>
      <c r="K1536">
        <v>0.25979999999999998</v>
      </c>
      <c r="L1536">
        <v>2.87</v>
      </c>
      <c r="M1536">
        <v>7.65</v>
      </c>
      <c r="N1536" t="s">
        <v>29</v>
      </c>
      <c r="O1536">
        <v>60</v>
      </c>
      <c r="P1536">
        <v>10</v>
      </c>
      <c r="Q1536">
        <v>30</v>
      </c>
      <c r="R1536">
        <v>30</v>
      </c>
      <c r="S1536">
        <v>0.91739999999999999</v>
      </c>
    </row>
    <row r="1537" spans="1:19" x14ac:dyDescent="0.25">
      <c r="A1537">
        <v>1045</v>
      </c>
      <c r="B1537">
        <v>5</v>
      </c>
      <c r="C1537" t="s">
        <v>60</v>
      </c>
      <c r="D1537">
        <v>4.9000000000000004</v>
      </c>
      <c r="E1537">
        <v>0.26</v>
      </c>
      <c r="F1537">
        <v>350</v>
      </c>
      <c r="G1537">
        <v>100</v>
      </c>
      <c r="H1537" t="s">
        <v>20</v>
      </c>
      <c r="I1537" t="s">
        <v>22</v>
      </c>
      <c r="J1537" t="s">
        <v>22</v>
      </c>
      <c r="K1537">
        <v>0.25979999999999998</v>
      </c>
      <c r="L1537">
        <v>2.87</v>
      </c>
      <c r="M1537">
        <v>7.65</v>
      </c>
      <c r="N1537" t="s">
        <v>29</v>
      </c>
      <c r="O1537">
        <v>60</v>
      </c>
      <c r="P1537">
        <v>10</v>
      </c>
      <c r="Q1537">
        <v>30</v>
      </c>
      <c r="R1537">
        <v>30</v>
      </c>
      <c r="S1537">
        <v>0.878</v>
      </c>
    </row>
    <row r="1538" spans="1:19" x14ac:dyDescent="0.25">
      <c r="A1538">
        <v>1045</v>
      </c>
      <c r="B1538">
        <v>5</v>
      </c>
      <c r="C1538" t="s">
        <v>28</v>
      </c>
      <c r="D1538">
        <v>4.57</v>
      </c>
      <c r="E1538">
        <v>1.1000000000000001</v>
      </c>
      <c r="F1538">
        <v>340</v>
      </c>
      <c r="G1538">
        <v>101</v>
      </c>
      <c r="H1538" t="s">
        <v>20</v>
      </c>
      <c r="I1538" t="s">
        <v>22</v>
      </c>
      <c r="J1538" t="s">
        <v>22</v>
      </c>
      <c r="K1538">
        <v>0.20960000000000001</v>
      </c>
      <c r="L1538">
        <v>3.53</v>
      </c>
      <c r="M1538">
        <v>8.52</v>
      </c>
      <c r="N1538" t="s">
        <v>29</v>
      </c>
      <c r="O1538">
        <v>60</v>
      </c>
      <c r="P1538">
        <v>10</v>
      </c>
      <c r="Q1538">
        <v>30</v>
      </c>
      <c r="R1538">
        <v>2</v>
      </c>
      <c r="S1538">
        <v>0.75570000000000004</v>
      </c>
    </row>
    <row r="1539" spans="1:19" x14ac:dyDescent="0.25">
      <c r="A1539">
        <v>1045</v>
      </c>
      <c r="B1539">
        <v>5</v>
      </c>
      <c r="C1539" t="s">
        <v>60</v>
      </c>
      <c r="D1539">
        <v>4.9000000000000004</v>
      </c>
      <c r="E1539">
        <v>0.26</v>
      </c>
      <c r="F1539">
        <v>350</v>
      </c>
      <c r="G1539">
        <v>100</v>
      </c>
      <c r="H1539" t="s">
        <v>20</v>
      </c>
      <c r="I1539" t="s">
        <v>22</v>
      </c>
      <c r="J1539" t="s">
        <v>22</v>
      </c>
      <c r="K1539">
        <v>0.20960000000000001</v>
      </c>
      <c r="L1539">
        <v>3.53</v>
      </c>
      <c r="M1539">
        <v>8.52</v>
      </c>
      <c r="N1539" t="s">
        <v>29</v>
      </c>
      <c r="O1539">
        <v>60</v>
      </c>
      <c r="P1539">
        <v>10</v>
      </c>
      <c r="Q1539">
        <v>30</v>
      </c>
      <c r="R1539">
        <v>2</v>
      </c>
      <c r="S1539">
        <v>0.35770000000000002</v>
      </c>
    </row>
    <row r="1540" spans="1:19" x14ac:dyDescent="0.25">
      <c r="A1540">
        <v>1045</v>
      </c>
      <c r="B1540">
        <v>5</v>
      </c>
      <c r="C1540" t="s">
        <v>28</v>
      </c>
      <c r="D1540">
        <v>4.57</v>
      </c>
      <c r="E1540">
        <v>1.1000000000000001</v>
      </c>
      <c r="F1540">
        <v>340</v>
      </c>
      <c r="G1540">
        <v>101</v>
      </c>
      <c r="H1540" t="s">
        <v>20</v>
      </c>
      <c r="I1540" t="s">
        <v>22</v>
      </c>
      <c r="J1540" t="s">
        <v>22</v>
      </c>
      <c r="K1540">
        <v>0.1731</v>
      </c>
      <c r="L1540">
        <v>5.12</v>
      </c>
      <c r="M1540">
        <v>7.89</v>
      </c>
      <c r="N1540" t="s">
        <v>29</v>
      </c>
      <c r="O1540">
        <v>60</v>
      </c>
      <c r="P1540">
        <v>10</v>
      </c>
      <c r="Q1540">
        <v>30</v>
      </c>
      <c r="R1540">
        <v>30</v>
      </c>
      <c r="S1540">
        <v>0.9476</v>
      </c>
    </row>
    <row r="1541" spans="1:19" x14ac:dyDescent="0.25">
      <c r="A1541">
        <v>1045</v>
      </c>
      <c r="B1541">
        <v>5</v>
      </c>
      <c r="C1541" t="s">
        <v>60</v>
      </c>
      <c r="D1541">
        <v>4.9000000000000004</v>
      </c>
      <c r="E1541">
        <v>0.26</v>
      </c>
      <c r="F1541">
        <v>350</v>
      </c>
      <c r="G1541">
        <v>100</v>
      </c>
      <c r="H1541" t="s">
        <v>20</v>
      </c>
      <c r="I1541" t="s">
        <v>22</v>
      </c>
      <c r="J1541" t="s">
        <v>22</v>
      </c>
      <c r="K1541">
        <v>0.1731</v>
      </c>
      <c r="L1541">
        <v>5.12</v>
      </c>
      <c r="M1541">
        <v>7.89</v>
      </c>
      <c r="N1541" t="s">
        <v>29</v>
      </c>
      <c r="O1541">
        <v>60</v>
      </c>
      <c r="P1541">
        <v>10</v>
      </c>
      <c r="Q1541">
        <v>30</v>
      </c>
      <c r="R1541">
        <v>30</v>
      </c>
      <c r="S1541">
        <v>0.91320000000000001</v>
      </c>
    </row>
    <row r="1542" spans="1:19" x14ac:dyDescent="0.25">
      <c r="A1542">
        <v>1045</v>
      </c>
      <c r="B1542">
        <v>5</v>
      </c>
      <c r="C1542" t="s">
        <v>28</v>
      </c>
      <c r="D1542">
        <v>4.57</v>
      </c>
      <c r="E1542">
        <v>1.1000000000000001</v>
      </c>
      <c r="F1542">
        <v>340</v>
      </c>
      <c r="G1542">
        <v>101</v>
      </c>
      <c r="H1542" t="s">
        <v>20</v>
      </c>
      <c r="I1542" t="s">
        <v>22</v>
      </c>
      <c r="J1542" t="s">
        <v>22</v>
      </c>
      <c r="K1542">
        <v>0.27579999999999999</v>
      </c>
      <c r="L1542">
        <v>3.7</v>
      </c>
      <c r="M1542">
        <v>8.5500000000000007</v>
      </c>
      <c r="N1542" t="s">
        <v>29</v>
      </c>
      <c r="O1542">
        <v>60</v>
      </c>
      <c r="P1542">
        <v>10</v>
      </c>
      <c r="Q1542">
        <v>30</v>
      </c>
      <c r="R1542">
        <v>2</v>
      </c>
      <c r="S1542">
        <v>0.20150000000000001</v>
      </c>
    </row>
    <row r="1543" spans="1:19" x14ac:dyDescent="0.25">
      <c r="A1543">
        <v>1045</v>
      </c>
      <c r="B1543">
        <v>5</v>
      </c>
      <c r="C1543" t="s">
        <v>60</v>
      </c>
      <c r="D1543">
        <v>4.9000000000000004</v>
      </c>
      <c r="E1543">
        <v>0.26</v>
      </c>
      <c r="F1543">
        <v>350</v>
      </c>
      <c r="G1543">
        <v>100</v>
      </c>
      <c r="H1543" t="s">
        <v>20</v>
      </c>
      <c r="I1543" t="s">
        <v>22</v>
      </c>
      <c r="J1543" t="s">
        <v>22</v>
      </c>
      <c r="K1543">
        <v>0.27579999999999999</v>
      </c>
      <c r="L1543">
        <v>3.7</v>
      </c>
      <c r="M1543">
        <v>8.5500000000000007</v>
      </c>
      <c r="N1543" t="s">
        <v>29</v>
      </c>
      <c r="O1543">
        <v>60</v>
      </c>
      <c r="P1543">
        <v>10</v>
      </c>
      <c r="Q1543">
        <v>30</v>
      </c>
      <c r="R1543">
        <v>2</v>
      </c>
      <c r="S1543">
        <v>0.14180000000000001</v>
      </c>
    </row>
    <row r="1544" spans="1:19" x14ac:dyDescent="0.25">
      <c r="A1544">
        <v>1045</v>
      </c>
      <c r="B1544">
        <v>5</v>
      </c>
      <c r="C1544" t="s">
        <v>28</v>
      </c>
      <c r="D1544">
        <v>4.57</v>
      </c>
      <c r="E1544">
        <v>1.1000000000000001</v>
      </c>
      <c r="F1544">
        <v>340</v>
      </c>
      <c r="G1544">
        <v>101</v>
      </c>
      <c r="H1544" t="s">
        <v>20</v>
      </c>
      <c r="I1544" t="s">
        <v>22</v>
      </c>
      <c r="J1544" t="s">
        <v>22</v>
      </c>
      <c r="K1544">
        <v>0.27360000000000001</v>
      </c>
      <c r="L1544">
        <v>3.94</v>
      </c>
      <c r="M1544">
        <v>8.08</v>
      </c>
      <c r="N1544" t="s">
        <v>29</v>
      </c>
      <c r="O1544">
        <v>60</v>
      </c>
      <c r="P1544">
        <v>10</v>
      </c>
      <c r="Q1544">
        <v>30</v>
      </c>
      <c r="R1544">
        <v>30</v>
      </c>
      <c r="S1544">
        <v>0.6119</v>
      </c>
    </row>
    <row r="1545" spans="1:19" x14ac:dyDescent="0.25">
      <c r="A1545">
        <v>1045</v>
      </c>
      <c r="B1545">
        <v>5</v>
      </c>
      <c r="C1545" t="s">
        <v>60</v>
      </c>
      <c r="D1545">
        <v>4.9000000000000004</v>
      </c>
      <c r="E1545">
        <v>0.26</v>
      </c>
      <c r="F1545">
        <v>350</v>
      </c>
      <c r="G1545">
        <v>100</v>
      </c>
      <c r="H1545" t="s">
        <v>20</v>
      </c>
      <c r="I1545" t="s">
        <v>22</v>
      </c>
      <c r="J1545" t="s">
        <v>22</v>
      </c>
      <c r="K1545">
        <v>0.27360000000000001</v>
      </c>
      <c r="L1545">
        <v>3.94</v>
      </c>
      <c r="M1545">
        <v>8.08</v>
      </c>
      <c r="N1545" t="s">
        <v>29</v>
      </c>
      <c r="O1545">
        <v>60</v>
      </c>
      <c r="P1545">
        <v>10</v>
      </c>
      <c r="Q1545">
        <v>30</v>
      </c>
      <c r="R1545">
        <v>30</v>
      </c>
      <c r="S1545">
        <v>0.71899999999999997</v>
      </c>
    </row>
    <row r="1546" spans="1:19" x14ac:dyDescent="0.25">
      <c r="A1546">
        <v>1045</v>
      </c>
      <c r="B1546">
        <v>5</v>
      </c>
      <c r="C1546" t="s">
        <v>28</v>
      </c>
      <c r="D1546">
        <v>4.57</v>
      </c>
      <c r="E1546">
        <v>1.1000000000000001</v>
      </c>
      <c r="F1546">
        <v>340</v>
      </c>
      <c r="G1546">
        <v>101</v>
      </c>
      <c r="H1546" t="s">
        <v>20</v>
      </c>
      <c r="I1546" t="s">
        <v>22</v>
      </c>
      <c r="J1546" t="s">
        <v>22</v>
      </c>
      <c r="K1546">
        <v>0.22309999999999999</v>
      </c>
      <c r="L1546">
        <v>4.2699999999999996</v>
      </c>
      <c r="M1546">
        <v>8.44</v>
      </c>
      <c r="N1546" t="s">
        <v>29</v>
      </c>
      <c r="O1546">
        <v>60</v>
      </c>
      <c r="P1546">
        <v>10</v>
      </c>
      <c r="Q1546">
        <v>30</v>
      </c>
      <c r="R1546">
        <v>2</v>
      </c>
      <c r="S1546">
        <v>0.62250000000000005</v>
      </c>
    </row>
    <row r="1547" spans="1:19" x14ac:dyDescent="0.25">
      <c r="A1547">
        <v>1045</v>
      </c>
      <c r="B1547">
        <v>5</v>
      </c>
      <c r="C1547" t="s">
        <v>60</v>
      </c>
      <c r="D1547">
        <v>4.9000000000000004</v>
      </c>
      <c r="E1547">
        <v>0.26</v>
      </c>
      <c r="F1547">
        <v>350</v>
      </c>
      <c r="G1547">
        <v>100</v>
      </c>
      <c r="H1547" t="s">
        <v>20</v>
      </c>
      <c r="I1547" t="s">
        <v>22</v>
      </c>
      <c r="J1547" t="s">
        <v>22</v>
      </c>
      <c r="K1547">
        <v>0.22309999999999999</v>
      </c>
      <c r="L1547">
        <v>4.2699999999999996</v>
      </c>
      <c r="M1547">
        <v>8.44</v>
      </c>
      <c r="N1547" t="s">
        <v>29</v>
      </c>
      <c r="O1547">
        <v>60</v>
      </c>
      <c r="P1547">
        <v>10</v>
      </c>
      <c r="Q1547">
        <v>30</v>
      </c>
      <c r="R1547">
        <v>2</v>
      </c>
      <c r="S1547">
        <v>0.1915</v>
      </c>
    </row>
    <row r="1548" spans="1:19" x14ac:dyDescent="0.25">
      <c r="A1548">
        <v>1045</v>
      </c>
      <c r="B1548">
        <v>5</v>
      </c>
      <c r="C1548" t="s">
        <v>28</v>
      </c>
      <c r="D1548">
        <v>4.57</v>
      </c>
      <c r="E1548">
        <v>1.1000000000000001</v>
      </c>
      <c r="F1548">
        <v>340</v>
      </c>
      <c r="G1548">
        <v>101</v>
      </c>
      <c r="H1548" t="s">
        <v>20</v>
      </c>
      <c r="I1548" t="s">
        <v>22</v>
      </c>
      <c r="J1548" t="s">
        <v>22</v>
      </c>
      <c r="K1548">
        <v>0.2082</v>
      </c>
      <c r="L1548">
        <v>3.93</v>
      </c>
      <c r="M1548">
        <v>7.96</v>
      </c>
      <c r="N1548" t="s">
        <v>29</v>
      </c>
      <c r="O1548">
        <v>60</v>
      </c>
      <c r="P1548">
        <v>10</v>
      </c>
      <c r="Q1548">
        <v>30</v>
      </c>
      <c r="R1548">
        <v>30</v>
      </c>
      <c r="S1548">
        <v>0.92090000000000005</v>
      </c>
    </row>
    <row r="1549" spans="1:19" x14ac:dyDescent="0.25">
      <c r="A1549">
        <v>1045</v>
      </c>
      <c r="B1549">
        <v>5</v>
      </c>
      <c r="C1549" t="s">
        <v>60</v>
      </c>
      <c r="D1549">
        <v>4.9000000000000004</v>
      </c>
      <c r="E1549">
        <v>0.26</v>
      </c>
      <c r="F1549">
        <v>350</v>
      </c>
      <c r="G1549">
        <v>100</v>
      </c>
      <c r="H1549" t="s">
        <v>20</v>
      </c>
      <c r="I1549" t="s">
        <v>22</v>
      </c>
      <c r="J1549" t="s">
        <v>22</v>
      </c>
      <c r="K1549">
        <v>0.2082</v>
      </c>
      <c r="L1549">
        <v>3.93</v>
      </c>
      <c r="M1549">
        <v>7.96</v>
      </c>
      <c r="N1549" t="s">
        <v>29</v>
      </c>
      <c r="O1549">
        <v>60</v>
      </c>
      <c r="P1549">
        <v>10</v>
      </c>
      <c r="Q1549">
        <v>30</v>
      </c>
      <c r="R1549">
        <v>30</v>
      </c>
      <c r="S1549">
        <v>0.88070000000000004</v>
      </c>
    </row>
    <row r="1550" spans="1:19" x14ac:dyDescent="0.25">
      <c r="A1550">
        <v>1045</v>
      </c>
      <c r="B1550">
        <v>5</v>
      </c>
      <c r="C1550" t="s">
        <v>28</v>
      </c>
      <c r="D1550">
        <v>4.57</v>
      </c>
      <c r="E1550">
        <v>1.1000000000000001</v>
      </c>
      <c r="F1550">
        <v>340</v>
      </c>
      <c r="G1550">
        <v>101</v>
      </c>
      <c r="H1550" t="s">
        <v>20</v>
      </c>
      <c r="I1550" t="s">
        <v>22</v>
      </c>
      <c r="J1550" t="s">
        <v>22</v>
      </c>
      <c r="K1550">
        <v>0.2306</v>
      </c>
      <c r="L1550">
        <v>2.8</v>
      </c>
      <c r="M1550">
        <v>8.52</v>
      </c>
      <c r="N1550" t="s">
        <v>29</v>
      </c>
      <c r="O1550">
        <v>60</v>
      </c>
      <c r="P1550">
        <v>10</v>
      </c>
      <c r="Q1550">
        <v>30</v>
      </c>
      <c r="R1550">
        <v>2</v>
      </c>
      <c r="S1550">
        <v>3.1E-2</v>
      </c>
    </row>
    <row r="1551" spans="1:19" x14ac:dyDescent="0.25">
      <c r="A1551">
        <v>1045</v>
      </c>
      <c r="B1551">
        <v>5</v>
      </c>
      <c r="C1551" t="s">
        <v>60</v>
      </c>
      <c r="D1551">
        <v>4.9000000000000004</v>
      </c>
      <c r="E1551">
        <v>0.26</v>
      </c>
      <c r="F1551">
        <v>350</v>
      </c>
      <c r="G1551">
        <v>100</v>
      </c>
      <c r="H1551" t="s">
        <v>20</v>
      </c>
      <c r="I1551" t="s">
        <v>22</v>
      </c>
      <c r="J1551" t="s">
        <v>22</v>
      </c>
      <c r="K1551">
        <v>0.2306</v>
      </c>
      <c r="L1551">
        <v>2.8</v>
      </c>
      <c r="M1551">
        <v>8.52</v>
      </c>
      <c r="N1551" t="s">
        <v>29</v>
      </c>
      <c r="O1551">
        <v>60</v>
      </c>
      <c r="P1551">
        <v>10</v>
      </c>
      <c r="Q1551">
        <v>30</v>
      </c>
      <c r="R1551">
        <v>2</v>
      </c>
      <c r="S1551">
        <v>3.2500000000000001E-2</v>
      </c>
    </row>
    <row r="1552" spans="1:19" x14ac:dyDescent="0.25">
      <c r="A1552">
        <v>1045</v>
      </c>
      <c r="B1552">
        <v>5</v>
      </c>
      <c r="C1552" t="s">
        <v>28</v>
      </c>
      <c r="D1552">
        <v>4.57</v>
      </c>
      <c r="E1552">
        <v>1.1000000000000001</v>
      </c>
      <c r="F1552">
        <v>340</v>
      </c>
      <c r="G1552">
        <v>101</v>
      </c>
      <c r="H1552" t="s">
        <v>20</v>
      </c>
      <c r="I1552" t="s">
        <v>22</v>
      </c>
      <c r="J1552" t="s">
        <v>22</v>
      </c>
      <c r="K1552">
        <v>0.18010000000000001</v>
      </c>
      <c r="L1552">
        <v>3.37</v>
      </c>
      <c r="M1552">
        <v>8.2100000000000009</v>
      </c>
      <c r="N1552" t="s">
        <v>29</v>
      </c>
      <c r="O1552">
        <v>60</v>
      </c>
      <c r="P1552">
        <v>10</v>
      </c>
      <c r="Q1552">
        <v>30</v>
      </c>
      <c r="R1552">
        <v>30</v>
      </c>
      <c r="S1552">
        <v>0.61719999999999997</v>
      </c>
    </row>
    <row r="1553" spans="1:19" x14ac:dyDescent="0.25">
      <c r="A1553">
        <v>1045</v>
      </c>
      <c r="B1553">
        <v>5</v>
      </c>
      <c r="C1553" t="s">
        <v>60</v>
      </c>
      <c r="D1553">
        <v>4.9000000000000004</v>
      </c>
      <c r="E1553">
        <v>0.26</v>
      </c>
      <c r="F1553">
        <v>350</v>
      </c>
      <c r="G1553">
        <v>100</v>
      </c>
      <c r="H1553" t="s">
        <v>20</v>
      </c>
      <c r="I1553" t="s">
        <v>22</v>
      </c>
      <c r="J1553" t="s">
        <v>22</v>
      </c>
      <c r="K1553">
        <v>0.18010000000000001</v>
      </c>
      <c r="L1553">
        <v>3.37</v>
      </c>
      <c r="M1553">
        <v>8.2100000000000009</v>
      </c>
      <c r="N1553" t="s">
        <v>29</v>
      </c>
      <c r="O1553">
        <v>60</v>
      </c>
      <c r="P1553">
        <v>10</v>
      </c>
      <c r="Q1553">
        <v>30</v>
      </c>
      <c r="R1553">
        <v>30</v>
      </c>
      <c r="S1553">
        <v>0.71809999999999996</v>
      </c>
    </row>
    <row r="1554" spans="1:19" x14ac:dyDescent="0.25">
      <c r="A1554">
        <v>1046</v>
      </c>
      <c r="B1554">
        <v>1</v>
      </c>
      <c r="C1554" t="s">
        <v>28</v>
      </c>
      <c r="D1554">
        <v>4.57</v>
      </c>
      <c r="E1554">
        <v>1.1000000000000001</v>
      </c>
      <c r="F1554">
        <v>340</v>
      </c>
      <c r="G1554">
        <v>101</v>
      </c>
      <c r="H1554" t="s">
        <v>48</v>
      </c>
      <c r="I1554">
        <v>430</v>
      </c>
      <c r="J1554">
        <v>1070</v>
      </c>
      <c r="K1554" t="s">
        <v>22</v>
      </c>
      <c r="L1554">
        <v>18.53</v>
      </c>
      <c r="M1554">
        <v>6.82</v>
      </c>
      <c r="N1554" t="s">
        <v>29</v>
      </c>
      <c r="O1554">
        <v>200</v>
      </c>
      <c r="P1554">
        <v>5</v>
      </c>
      <c r="Q1554">
        <v>40</v>
      </c>
      <c r="R1554">
        <v>30</v>
      </c>
      <c r="S1554">
        <v>0.5</v>
      </c>
    </row>
    <row r="1555" spans="1:19" x14ac:dyDescent="0.25">
      <c r="A1555">
        <v>1046</v>
      </c>
      <c r="B1555">
        <v>1</v>
      </c>
      <c r="C1555" t="s">
        <v>35</v>
      </c>
      <c r="D1555">
        <v>5.18</v>
      </c>
      <c r="E1555">
        <v>0.13200000000000001</v>
      </c>
      <c r="F1555">
        <v>393</v>
      </c>
      <c r="G1555">
        <v>150</v>
      </c>
      <c r="H1555" t="s">
        <v>48</v>
      </c>
      <c r="I1555">
        <v>430</v>
      </c>
      <c r="J1555">
        <v>1070</v>
      </c>
      <c r="K1555" t="s">
        <v>22</v>
      </c>
      <c r="L1555">
        <v>18.53</v>
      </c>
      <c r="M1555">
        <v>6.82</v>
      </c>
      <c r="N1555" t="s">
        <v>32</v>
      </c>
      <c r="O1555">
        <v>200</v>
      </c>
      <c r="P1555">
        <v>5</v>
      </c>
      <c r="Q1555">
        <v>40</v>
      </c>
      <c r="R1555">
        <v>30</v>
      </c>
      <c r="S1555">
        <v>0.317</v>
      </c>
    </row>
    <row r="1556" spans="1:19" x14ac:dyDescent="0.25">
      <c r="A1556">
        <v>1046</v>
      </c>
      <c r="B1556">
        <v>1</v>
      </c>
      <c r="C1556" t="s">
        <v>28</v>
      </c>
      <c r="D1556">
        <v>4.57</v>
      </c>
      <c r="E1556">
        <v>1.1000000000000001</v>
      </c>
      <c r="F1556">
        <v>340</v>
      </c>
      <c r="G1556">
        <v>101</v>
      </c>
      <c r="H1556" t="str">
        <f>H1555</f>
        <v>黏土</v>
      </c>
      <c r="I1556">
        <v>430</v>
      </c>
      <c r="J1556">
        <v>1070</v>
      </c>
      <c r="K1556" t="s">
        <v>22</v>
      </c>
      <c r="L1556">
        <v>18.53</v>
      </c>
      <c r="M1556">
        <v>6.82</v>
      </c>
      <c r="N1556" t="s">
        <v>29</v>
      </c>
      <c r="O1556">
        <v>200</v>
      </c>
      <c r="P1556">
        <v>5</v>
      </c>
      <c r="Q1556">
        <v>40</v>
      </c>
      <c r="R1556">
        <v>18</v>
      </c>
      <c r="S1556">
        <v>0.876</v>
      </c>
    </row>
    <row r="1557" spans="1:19" x14ac:dyDescent="0.25">
      <c r="A1557">
        <v>1046</v>
      </c>
      <c r="B1557">
        <v>1</v>
      </c>
      <c r="C1557" t="s">
        <v>35</v>
      </c>
      <c r="D1557">
        <v>5.18</v>
      </c>
      <c r="E1557">
        <v>0.13200000000000001</v>
      </c>
      <c r="F1557">
        <v>393</v>
      </c>
      <c r="G1557">
        <v>150</v>
      </c>
      <c r="H1557" t="str">
        <f t="shared" ref="H1557:H1587" si="90">H1556</f>
        <v>黏土</v>
      </c>
      <c r="I1557">
        <v>430</v>
      </c>
      <c r="J1557">
        <v>1070</v>
      </c>
      <c r="K1557" t="s">
        <v>22</v>
      </c>
      <c r="L1557">
        <v>18.53</v>
      </c>
      <c r="M1557">
        <v>6.82</v>
      </c>
      <c r="N1557" t="s">
        <v>32</v>
      </c>
      <c r="O1557">
        <v>200</v>
      </c>
      <c r="P1557">
        <v>5</v>
      </c>
      <c r="Q1557">
        <v>40</v>
      </c>
      <c r="R1557">
        <v>18</v>
      </c>
      <c r="S1557">
        <v>0.92500000000000004</v>
      </c>
    </row>
    <row r="1558" spans="1:19" x14ac:dyDescent="0.25">
      <c r="A1558">
        <v>1046</v>
      </c>
      <c r="B1558">
        <v>2</v>
      </c>
      <c r="C1558" t="s">
        <v>28</v>
      </c>
      <c r="D1558">
        <v>4.57</v>
      </c>
      <c r="E1558">
        <v>1.1000000000000001</v>
      </c>
      <c r="F1558">
        <v>340</v>
      </c>
      <c r="G1558">
        <v>101</v>
      </c>
      <c r="H1558" t="str">
        <f t="shared" si="90"/>
        <v>黏土</v>
      </c>
      <c r="I1558">
        <v>430</v>
      </c>
      <c r="J1558">
        <v>1070</v>
      </c>
      <c r="K1558" t="s">
        <v>22</v>
      </c>
      <c r="L1558">
        <v>18.53</v>
      </c>
      <c r="M1558">
        <v>6.82</v>
      </c>
      <c r="N1558" t="s">
        <v>29</v>
      </c>
      <c r="O1558">
        <v>200</v>
      </c>
      <c r="P1558">
        <v>5</v>
      </c>
      <c r="Q1558">
        <v>40</v>
      </c>
      <c r="R1558">
        <v>2</v>
      </c>
      <c r="S1558">
        <v>0.23899999999999999</v>
      </c>
    </row>
    <row r="1559" spans="1:19" x14ac:dyDescent="0.25">
      <c r="A1559">
        <v>1046</v>
      </c>
      <c r="B1559">
        <f>B1558</f>
        <v>2</v>
      </c>
      <c r="C1559" t="str">
        <f>C1558</f>
        <v>菲</v>
      </c>
      <c r="D1559">
        <f t="shared" ref="D1559:D1572" si="91">D1558</f>
        <v>4.57</v>
      </c>
      <c r="E1559">
        <f t="shared" ref="E1559:E1572" si="92">E1558</f>
        <v>1.1000000000000001</v>
      </c>
      <c r="F1559">
        <f>F1558</f>
        <v>340</v>
      </c>
      <c r="G1559">
        <v>101</v>
      </c>
      <c r="H1559" t="str">
        <f t="shared" si="90"/>
        <v>黏土</v>
      </c>
      <c r="I1559">
        <v>430</v>
      </c>
      <c r="J1559">
        <v>1070</v>
      </c>
      <c r="K1559" t="s">
        <v>22</v>
      </c>
      <c r="L1559">
        <v>18.53</v>
      </c>
      <c r="M1559">
        <v>6.82</v>
      </c>
      <c r="N1559" t="str">
        <f>N1558</f>
        <v>3环</v>
      </c>
      <c r="O1559">
        <v>200</v>
      </c>
      <c r="P1559">
        <v>5</v>
      </c>
      <c r="Q1559">
        <v>40</v>
      </c>
      <c r="R1559">
        <v>4</v>
      </c>
      <c r="S1559">
        <v>0.44400000000000001</v>
      </c>
    </row>
    <row r="1560" spans="1:19" x14ac:dyDescent="0.25">
      <c r="A1560">
        <v>1046</v>
      </c>
      <c r="B1560">
        <f t="shared" ref="B1560:B1586" si="93">B1559</f>
        <v>2</v>
      </c>
      <c r="C1560" t="str">
        <f t="shared" ref="C1560:C1572" si="94">C1559</f>
        <v>菲</v>
      </c>
      <c r="D1560">
        <f t="shared" si="91"/>
        <v>4.57</v>
      </c>
      <c r="E1560">
        <f t="shared" si="92"/>
        <v>1.1000000000000001</v>
      </c>
      <c r="F1560">
        <f t="shared" ref="F1560:F1576" si="95">F1559</f>
        <v>340</v>
      </c>
      <c r="G1560">
        <v>101</v>
      </c>
      <c r="H1560" t="str">
        <f t="shared" si="90"/>
        <v>黏土</v>
      </c>
      <c r="I1560">
        <v>430</v>
      </c>
      <c r="J1560">
        <v>1070</v>
      </c>
      <c r="K1560" t="s">
        <v>22</v>
      </c>
      <c r="L1560">
        <v>18.53</v>
      </c>
      <c r="M1560">
        <v>6.82</v>
      </c>
      <c r="N1560" t="s">
        <v>29</v>
      </c>
      <c r="O1560">
        <v>200</v>
      </c>
      <c r="P1560">
        <v>5</v>
      </c>
      <c r="Q1560">
        <v>40</v>
      </c>
      <c r="R1560">
        <v>6</v>
      </c>
      <c r="S1560">
        <v>0.83499999999999996</v>
      </c>
    </row>
    <row r="1561" spans="1:19" x14ac:dyDescent="0.25">
      <c r="A1561">
        <v>1046</v>
      </c>
      <c r="B1561">
        <f t="shared" si="93"/>
        <v>2</v>
      </c>
      <c r="C1561" t="str">
        <f t="shared" si="94"/>
        <v>菲</v>
      </c>
      <c r="D1561">
        <f t="shared" si="91"/>
        <v>4.57</v>
      </c>
      <c r="E1561">
        <f t="shared" si="92"/>
        <v>1.1000000000000001</v>
      </c>
      <c r="F1561">
        <f t="shared" si="95"/>
        <v>340</v>
      </c>
      <c r="G1561">
        <f>G1560</f>
        <v>101</v>
      </c>
      <c r="H1561" t="str">
        <f t="shared" si="90"/>
        <v>黏土</v>
      </c>
      <c r="I1561">
        <v>430</v>
      </c>
      <c r="J1561">
        <v>1070</v>
      </c>
      <c r="K1561" t="s">
        <v>22</v>
      </c>
      <c r="L1561">
        <v>18.53</v>
      </c>
      <c r="M1561">
        <v>6.82</v>
      </c>
      <c r="N1561" t="s">
        <v>29</v>
      </c>
      <c r="O1561">
        <v>200</v>
      </c>
      <c r="P1561">
        <v>5</v>
      </c>
      <c r="Q1561">
        <v>40</v>
      </c>
      <c r="R1561">
        <v>12</v>
      </c>
      <c r="S1561">
        <v>0.9</v>
      </c>
    </row>
    <row r="1562" spans="1:19" x14ac:dyDescent="0.25">
      <c r="A1562">
        <v>1046</v>
      </c>
      <c r="B1562">
        <f t="shared" si="93"/>
        <v>2</v>
      </c>
      <c r="C1562" t="str">
        <f t="shared" si="94"/>
        <v>菲</v>
      </c>
      <c r="D1562">
        <f t="shared" si="91"/>
        <v>4.57</v>
      </c>
      <c r="E1562">
        <f t="shared" si="92"/>
        <v>1.1000000000000001</v>
      </c>
      <c r="F1562">
        <f t="shared" si="95"/>
        <v>340</v>
      </c>
      <c r="G1562">
        <f t="shared" ref="G1562:G1577" si="96">G1561</f>
        <v>101</v>
      </c>
      <c r="H1562" t="str">
        <f t="shared" si="90"/>
        <v>黏土</v>
      </c>
      <c r="I1562">
        <v>430</v>
      </c>
      <c r="J1562">
        <v>1070</v>
      </c>
      <c r="K1562" t="s">
        <v>22</v>
      </c>
      <c r="L1562">
        <v>18.53</v>
      </c>
      <c r="M1562">
        <v>6.82</v>
      </c>
      <c r="N1562" t="s">
        <v>29</v>
      </c>
      <c r="O1562">
        <v>200</v>
      </c>
      <c r="P1562">
        <v>5</v>
      </c>
      <c r="Q1562">
        <v>40</v>
      </c>
      <c r="R1562">
        <v>18</v>
      </c>
      <c r="S1562">
        <v>0.86499999999999999</v>
      </c>
    </row>
    <row r="1563" spans="1:19" x14ac:dyDescent="0.25">
      <c r="A1563">
        <v>1046</v>
      </c>
      <c r="B1563">
        <f t="shared" si="93"/>
        <v>2</v>
      </c>
      <c r="C1563" t="str">
        <f t="shared" si="94"/>
        <v>菲</v>
      </c>
      <c r="D1563">
        <f t="shared" si="91"/>
        <v>4.57</v>
      </c>
      <c r="E1563">
        <f t="shared" si="92"/>
        <v>1.1000000000000001</v>
      </c>
      <c r="F1563">
        <f t="shared" si="95"/>
        <v>340</v>
      </c>
      <c r="G1563">
        <f t="shared" si="96"/>
        <v>101</v>
      </c>
      <c r="H1563" t="str">
        <f t="shared" si="90"/>
        <v>黏土</v>
      </c>
      <c r="I1563">
        <v>430</v>
      </c>
      <c r="J1563">
        <v>1070</v>
      </c>
      <c r="K1563" t="s">
        <v>22</v>
      </c>
      <c r="L1563">
        <v>18.53</v>
      </c>
      <c r="M1563">
        <v>6.82</v>
      </c>
      <c r="N1563" t="s">
        <v>29</v>
      </c>
      <c r="O1563">
        <v>250</v>
      </c>
      <c r="P1563">
        <v>5</v>
      </c>
      <c r="Q1563">
        <v>40</v>
      </c>
      <c r="R1563">
        <v>2</v>
      </c>
      <c r="S1563">
        <v>0.316</v>
      </c>
    </row>
    <row r="1564" spans="1:19" x14ac:dyDescent="0.25">
      <c r="A1564">
        <v>1046</v>
      </c>
      <c r="B1564">
        <f t="shared" si="93"/>
        <v>2</v>
      </c>
      <c r="C1564" t="str">
        <f t="shared" si="94"/>
        <v>菲</v>
      </c>
      <c r="D1564">
        <f t="shared" si="91"/>
        <v>4.57</v>
      </c>
      <c r="E1564">
        <f t="shared" si="92"/>
        <v>1.1000000000000001</v>
      </c>
      <c r="F1564">
        <f t="shared" si="95"/>
        <v>340</v>
      </c>
      <c r="G1564">
        <f t="shared" si="96"/>
        <v>101</v>
      </c>
      <c r="H1564" t="str">
        <f t="shared" si="90"/>
        <v>黏土</v>
      </c>
      <c r="I1564">
        <v>430</v>
      </c>
      <c r="J1564">
        <v>1070</v>
      </c>
      <c r="K1564" t="s">
        <v>22</v>
      </c>
      <c r="L1564">
        <v>18.53</v>
      </c>
      <c r="M1564">
        <v>6.82</v>
      </c>
      <c r="N1564" t="s">
        <v>29</v>
      </c>
      <c r="O1564">
        <v>250</v>
      </c>
      <c r="P1564">
        <v>5</v>
      </c>
      <c r="Q1564">
        <v>40</v>
      </c>
      <c r="R1564">
        <v>4</v>
      </c>
      <c r="S1564">
        <v>0.45100000000000001</v>
      </c>
    </row>
    <row r="1565" spans="1:19" x14ac:dyDescent="0.25">
      <c r="A1565">
        <v>1046</v>
      </c>
      <c r="B1565">
        <f t="shared" si="93"/>
        <v>2</v>
      </c>
      <c r="C1565" t="str">
        <f t="shared" si="94"/>
        <v>菲</v>
      </c>
      <c r="D1565">
        <f t="shared" si="91"/>
        <v>4.57</v>
      </c>
      <c r="E1565">
        <v>1.1000000000000001</v>
      </c>
      <c r="F1565">
        <f t="shared" si="95"/>
        <v>340</v>
      </c>
      <c r="G1565">
        <f t="shared" si="96"/>
        <v>101</v>
      </c>
      <c r="H1565" t="str">
        <f t="shared" si="90"/>
        <v>黏土</v>
      </c>
      <c r="I1565">
        <v>430</v>
      </c>
      <c r="J1565">
        <v>1070</v>
      </c>
      <c r="K1565" t="s">
        <v>22</v>
      </c>
      <c r="L1565">
        <v>18.53</v>
      </c>
      <c r="M1565">
        <v>6.82</v>
      </c>
      <c r="N1565" t="str">
        <f>N1564</f>
        <v>3环</v>
      </c>
      <c r="O1565">
        <v>250</v>
      </c>
      <c r="P1565">
        <v>5</v>
      </c>
      <c r="Q1565">
        <v>40</v>
      </c>
      <c r="R1565">
        <v>6</v>
      </c>
      <c r="S1565">
        <v>0.86199999999999999</v>
      </c>
    </row>
    <row r="1566" spans="1:19" x14ac:dyDescent="0.25">
      <c r="A1566">
        <v>1046</v>
      </c>
      <c r="B1566">
        <f t="shared" si="93"/>
        <v>2</v>
      </c>
      <c r="C1566" t="str">
        <f t="shared" si="94"/>
        <v>菲</v>
      </c>
      <c r="D1566">
        <f t="shared" si="91"/>
        <v>4.57</v>
      </c>
      <c r="E1566">
        <v>1.1000000000000001</v>
      </c>
      <c r="F1566">
        <f t="shared" si="95"/>
        <v>340</v>
      </c>
      <c r="G1566">
        <f t="shared" si="96"/>
        <v>101</v>
      </c>
      <c r="H1566" t="str">
        <f t="shared" si="90"/>
        <v>黏土</v>
      </c>
      <c r="I1566">
        <v>430</v>
      </c>
      <c r="J1566">
        <v>1070</v>
      </c>
      <c r="K1566" t="s">
        <v>22</v>
      </c>
      <c r="L1566">
        <v>18.53</v>
      </c>
      <c r="M1566">
        <v>6.82</v>
      </c>
      <c r="N1566" t="str">
        <f t="shared" ref="N1566:N1577" si="97">N1565</f>
        <v>3环</v>
      </c>
      <c r="O1566">
        <v>250</v>
      </c>
      <c r="P1566">
        <v>5</v>
      </c>
      <c r="Q1566">
        <v>40</v>
      </c>
      <c r="R1566">
        <v>12</v>
      </c>
      <c r="S1566">
        <v>0.81499999999999995</v>
      </c>
    </row>
    <row r="1567" spans="1:19" x14ac:dyDescent="0.25">
      <c r="A1567">
        <v>1046</v>
      </c>
      <c r="B1567">
        <f t="shared" si="93"/>
        <v>2</v>
      </c>
      <c r="C1567" t="str">
        <f t="shared" si="94"/>
        <v>菲</v>
      </c>
      <c r="D1567">
        <f t="shared" si="91"/>
        <v>4.57</v>
      </c>
      <c r="E1567">
        <f t="shared" si="92"/>
        <v>1.1000000000000001</v>
      </c>
      <c r="F1567">
        <f t="shared" si="95"/>
        <v>340</v>
      </c>
      <c r="G1567">
        <f t="shared" si="96"/>
        <v>101</v>
      </c>
      <c r="H1567" t="str">
        <f t="shared" si="90"/>
        <v>黏土</v>
      </c>
      <c r="I1567">
        <v>430</v>
      </c>
      <c r="J1567">
        <v>1070</v>
      </c>
      <c r="K1567" t="s">
        <v>22</v>
      </c>
      <c r="L1567">
        <v>18.53</v>
      </c>
      <c r="M1567">
        <v>6.82</v>
      </c>
      <c r="N1567" t="str">
        <f t="shared" si="97"/>
        <v>3环</v>
      </c>
      <c r="O1567">
        <v>250</v>
      </c>
      <c r="P1567">
        <v>5</v>
      </c>
      <c r="Q1567">
        <v>40</v>
      </c>
      <c r="R1567">
        <v>18</v>
      </c>
      <c r="S1567">
        <v>0.86199999999999999</v>
      </c>
    </row>
    <row r="1568" spans="1:19" x14ac:dyDescent="0.25">
      <c r="A1568">
        <v>1046</v>
      </c>
      <c r="B1568">
        <f t="shared" si="93"/>
        <v>2</v>
      </c>
      <c r="C1568" t="str">
        <f t="shared" si="94"/>
        <v>菲</v>
      </c>
      <c r="D1568">
        <f t="shared" si="91"/>
        <v>4.57</v>
      </c>
      <c r="E1568">
        <f t="shared" si="92"/>
        <v>1.1000000000000001</v>
      </c>
      <c r="F1568">
        <f t="shared" si="95"/>
        <v>340</v>
      </c>
      <c r="G1568">
        <f t="shared" si="96"/>
        <v>101</v>
      </c>
      <c r="H1568" t="str">
        <f t="shared" si="90"/>
        <v>黏土</v>
      </c>
      <c r="I1568">
        <v>430</v>
      </c>
      <c r="J1568">
        <v>1070</v>
      </c>
      <c r="K1568" t="s">
        <v>22</v>
      </c>
      <c r="L1568">
        <v>18.53</v>
      </c>
      <c r="M1568">
        <v>6.82</v>
      </c>
      <c r="N1568" t="str">
        <f t="shared" si="97"/>
        <v>3环</v>
      </c>
      <c r="O1568">
        <v>300</v>
      </c>
      <c r="P1568">
        <v>5</v>
      </c>
      <c r="Q1568">
        <v>40</v>
      </c>
      <c r="R1568">
        <v>2</v>
      </c>
      <c r="S1568">
        <v>0.24199999999999999</v>
      </c>
    </row>
    <row r="1569" spans="1:19" x14ac:dyDescent="0.25">
      <c r="A1569">
        <v>1046</v>
      </c>
      <c r="B1569">
        <f t="shared" si="93"/>
        <v>2</v>
      </c>
      <c r="C1569" t="str">
        <f t="shared" si="94"/>
        <v>菲</v>
      </c>
      <c r="D1569">
        <f t="shared" si="91"/>
        <v>4.57</v>
      </c>
      <c r="E1569">
        <f t="shared" si="92"/>
        <v>1.1000000000000001</v>
      </c>
      <c r="F1569">
        <f t="shared" si="95"/>
        <v>340</v>
      </c>
      <c r="G1569">
        <f t="shared" si="96"/>
        <v>101</v>
      </c>
      <c r="H1569" t="str">
        <f t="shared" si="90"/>
        <v>黏土</v>
      </c>
      <c r="I1569">
        <v>430</v>
      </c>
      <c r="J1569">
        <v>1070</v>
      </c>
      <c r="K1569" t="s">
        <v>22</v>
      </c>
      <c r="L1569">
        <v>18.53</v>
      </c>
      <c r="M1569">
        <v>6.82</v>
      </c>
      <c r="N1569" t="str">
        <f t="shared" si="97"/>
        <v>3环</v>
      </c>
      <c r="O1569">
        <v>300</v>
      </c>
      <c r="P1569">
        <v>5</v>
      </c>
      <c r="Q1569">
        <v>40</v>
      </c>
      <c r="R1569">
        <v>4</v>
      </c>
      <c r="S1569">
        <v>0.41099999999999998</v>
      </c>
    </row>
    <row r="1570" spans="1:19" x14ac:dyDescent="0.25">
      <c r="A1570">
        <v>1046</v>
      </c>
      <c r="B1570">
        <f t="shared" si="93"/>
        <v>2</v>
      </c>
      <c r="C1570" t="str">
        <f t="shared" si="94"/>
        <v>菲</v>
      </c>
      <c r="D1570">
        <f t="shared" si="91"/>
        <v>4.57</v>
      </c>
      <c r="E1570">
        <f t="shared" si="92"/>
        <v>1.1000000000000001</v>
      </c>
      <c r="F1570">
        <f t="shared" si="95"/>
        <v>340</v>
      </c>
      <c r="G1570">
        <f t="shared" si="96"/>
        <v>101</v>
      </c>
      <c r="H1570" t="str">
        <f t="shared" si="90"/>
        <v>黏土</v>
      </c>
      <c r="I1570">
        <v>430</v>
      </c>
      <c r="J1570">
        <v>1070</v>
      </c>
      <c r="K1570" t="s">
        <v>22</v>
      </c>
      <c r="L1570">
        <v>18.53</v>
      </c>
      <c r="M1570">
        <v>6.82</v>
      </c>
      <c r="N1570" t="str">
        <f t="shared" si="97"/>
        <v>3环</v>
      </c>
      <c r="O1570">
        <v>300</v>
      </c>
      <c r="P1570">
        <v>5</v>
      </c>
      <c r="Q1570">
        <v>40</v>
      </c>
      <c r="R1570">
        <v>6</v>
      </c>
      <c r="S1570">
        <v>0.82199999999999995</v>
      </c>
    </row>
    <row r="1571" spans="1:19" x14ac:dyDescent="0.25">
      <c r="A1571">
        <v>1046</v>
      </c>
      <c r="B1571">
        <f t="shared" si="93"/>
        <v>2</v>
      </c>
      <c r="C1571" t="str">
        <f t="shared" si="94"/>
        <v>菲</v>
      </c>
      <c r="D1571">
        <f t="shared" si="91"/>
        <v>4.57</v>
      </c>
      <c r="E1571">
        <f t="shared" si="92"/>
        <v>1.1000000000000001</v>
      </c>
      <c r="F1571">
        <f t="shared" si="95"/>
        <v>340</v>
      </c>
      <c r="G1571">
        <f t="shared" si="96"/>
        <v>101</v>
      </c>
      <c r="H1571" t="str">
        <f t="shared" si="90"/>
        <v>黏土</v>
      </c>
      <c r="I1571">
        <v>430</v>
      </c>
      <c r="J1571">
        <v>1070</v>
      </c>
      <c r="K1571" t="s">
        <v>22</v>
      </c>
      <c r="L1571">
        <v>18.53</v>
      </c>
      <c r="M1571">
        <v>6.82</v>
      </c>
      <c r="N1571" t="str">
        <f t="shared" si="97"/>
        <v>3环</v>
      </c>
      <c r="O1571">
        <v>300</v>
      </c>
      <c r="P1571">
        <v>5</v>
      </c>
      <c r="Q1571">
        <v>40</v>
      </c>
      <c r="R1571">
        <v>12</v>
      </c>
      <c r="S1571">
        <v>0.84199999999999997</v>
      </c>
    </row>
    <row r="1572" spans="1:19" x14ac:dyDescent="0.25">
      <c r="A1572">
        <v>1046</v>
      </c>
      <c r="B1572">
        <f t="shared" si="93"/>
        <v>2</v>
      </c>
      <c r="C1572" t="str">
        <f t="shared" si="94"/>
        <v>菲</v>
      </c>
      <c r="D1572">
        <f t="shared" si="91"/>
        <v>4.57</v>
      </c>
      <c r="E1572">
        <f t="shared" si="92"/>
        <v>1.1000000000000001</v>
      </c>
      <c r="F1572">
        <f t="shared" si="95"/>
        <v>340</v>
      </c>
      <c r="G1572">
        <f t="shared" si="96"/>
        <v>101</v>
      </c>
      <c r="H1572" t="str">
        <f t="shared" si="90"/>
        <v>黏土</v>
      </c>
      <c r="I1572">
        <v>430</v>
      </c>
      <c r="J1572">
        <v>1070</v>
      </c>
      <c r="K1572" t="s">
        <v>22</v>
      </c>
      <c r="L1572">
        <v>18.53</v>
      </c>
      <c r="M1572">
        <v>6.82</v>
      </c>
      <c r="N1572" t="str">
        <f t="shared" si="97"/>
        <v>3环</v>
      </c>
      <c r="O1572">
        <v>300</v>
      </c>
      <c r="P1572">
        <v>5</v>
      </c>
      <c r="Q1572">
        <v>40</v>
      </c>
      <c r="R1572">
        <v>18</v>
      </c>
      <c r="S1572">
        <v>0.85499999999999998</v>
      </c>
    </row>
    <row r="1573" spans="1:19" x14ac:dyDescent="0.25">
      <c r="A1573">
        <v>1046</v>
      </c>
      <c r="B1573">
        <f t="shared" si="93"/>
        <v>2</v>
      </c>
      <c r="C1573" t="s">
        <v>35</v>
      </c>
      <c r="D1573">
        <v>5.18</v>
      </c>
      <c r="E1573">
        <v>0.13200000000000001</v>
      </c>
      <c r="F1573">
        <v>393</v>
      </c>
      <c r="G1573">
        <v>150</v>
      </c>
      <c r="H1573" t="str">
        <f t="shared" si="90"/>
        <v>黏土</v>
      </c>
      <c r="I1573">
        <v>430</v>
      </c>
      <c r="J1573">
        <v>1070</v>
      </c>
      <c r="K1573" t="s">
        <v>22</v>
      </c>
      <c r="L1573">
        <v>18.53</v>
      </c>
      <c r="M1573">
        <v>6.82</v>
      </c>
      <c r="N1573" t="s">
        <v>32</v>
      </c>
      <c r="O1573">
        <v>200</v>
      </c>
      <c r="P1573">
        <v>5</v>
      </c>
      <c r="Q1573">
        <v>40</v>
      </c>
      <c r="R1573">
        <v>2</v>
      </c>
      <c r="S1573">
        <v>0.29299999999999998</v>
      </c>
    </row>
    <row r="1574" spans="1:19" x14ac:dyDescent="0.25">
      <c r="A1574">
        <v>1046</v>
      </c>
      <c r="B1574">
        <f t="shared" si="93"/>
        <v>2</v>
      </c>
      <c r="C1574" t="s">
        <v>35</v>
      </c>
      <c r="D1574">
        <v>5.18</v>
      </c>
      <c r="E1574">
        <v>0.13200000000000001</v>
      </c>
      <c r="F1574">
        <v>393</v>
      </c>
      <c r="G1574">
        <f t="shared" si="96"/>
        <v>150</v>
      </c>
      <c r="H1574" t="str">
        <f t="shared" si="90"/>
        <v>黏土</v>
      </c>
      <c r="I1574">
        <v>430</v>
      </c>
      <c r="J1574">
        <v>1070</v>
      </c>
      <c r="K1574" t="s">
        <v>22</v>
      </c>
      <c r="L1574">
        <v>18.53</v>
      </c>
      <c r="M1574">
        <v>6.82</v>
      </c>
      <c r="N1574" t="str">
        <f t="shared" si="97"/>
        <v>4环</v>
      </c>
      <c r="O1574">
        <v>200</v>
      </c>
      <c r="P1574">
        <v>5</v>
      </c>
      <c r="Q1574">
        <v>40</v>
      </c>
      <c r="R1574">
        <v>4</v>
      </c>
      <c r="S1574">
        <v>0.46899999999999997</v>
      </c>
    </row>
    <row r="1575" spans="1:19" x14ac:dyDescent="0.25">
      <c r="A1575">
        <v>1046</v>
      </c>
      <c r="B1575">
        <f t="shared" si="93"/>
        <v>2</v>
      </c>
      <c r="C1575" t="s">
        <v>35</v>
      </c>
      <c r="D1575">
        <v>5.18</v>
      </c>
      <c r="E1575">
        <v>0.13200000000000001</v>
      </c>
      <c r="F1575">
        <f t="shared" si="95"/>
        <v>393</v>
      </c>
      <c r="G1575">
        <f t="shared" si="96"/>
        <v>150</v>
      </c>
      <c r="H1575" t="str">
        <f t="shared" si="90"/>
        <v>黏土</v>
      </c>
      <c r="I1575">
        <v>430</v>
      </c>
      <c r="J1575">
        <v>1070</v>
      </c>
      <c r="K1575" t="s">
        <v>22</v>
      </c>
      <c r="L1575">
        <v>18.53</v>
      </c>
      <c r="M1575">
        <v>6.82</v>
      </c>
      <c r="N1575" t="str">
        <f t="shared" si="97"/>
        <v>4环</v>
      </c>
      <c r="O1575">
        <v>200</v>
      </c>
      <c r="P1575">
        <v>5</v>
      </c>
      <c r="Q1575">
        <v>40</v>
      </c>
      <c r="R1575">
        <v>6</v>
      </c>
      <c r="S1575">
        <v>0.60099999999999998</v>
      </c>
    </row>
    <row r="1576" spans="1:19" x14ac:dyDescent="0.25">
      <c r="A1576">
        <v>1046</v>
      </c>
      <c r="B1576">
        <f t="shared" si="93"/>
        <v>2</v>
      </c>
      <c r="C1576" t="s">
        <v>35</v>
      </c>
      <c r="D1576">
        <v>5.18</v>
      </c>
      <c r="E1576">
        <v>0.13200000000000001</v>
      </c>
      <c r="F1576">
        <f t="shared" si="95"/>
        <v>393</v>
      </c>
      <c r="G1576">
        <f t="shared" si="96"/>
        <v>150</v>
      </c>
      <c r="H1576" t="str">
        <f t="shared" si="90"/>
        <v>黏土</v>
      </c>
      <c r="I1576">
        <v>430</v>
      </c>
      <c r="J1576">
        <v>1070</v>
      </c>
      <c r="K1576" t="s">
        <v>22</v>
      </c>
      <c r="L1576">
        <v>18.53</v>
      </c>
      <c r="M1576">
        <v>6.82</v>
      </c>
      <c r="N1576" t="str">
        <f t="shared" si="97"/>
        <v>4环</v>
      </c>
      <c r="O1576">
        <v>200</v>
      </c>
      <c r="P1576">
        <v>5</v>
      </c>
      <c r="Q1576">
        <v>40</v>
      </c>
      <c r="R1576">
        <v>12</v>
      </c>
      <c r="S1576">
        <v>0.73099999999999998</v>
      </c>
    </row>
    <row r="1577" spans="1:19" x14ac:dyDescent="0.25">
      <c r="A1577">
        <v>1046</v>
      </c>
      <c r="B1577">
        <f t="shared" si="93"/>
        <v>2</v>
      </c>
      <c r="C1577" t="s">
        <v>35</v>
      </c>
      <c r="D1577">
        <v>5.18</v>
      </c>
      <c r="E1577">
        <v>0.13200000000000001</v>
      </c>
      <c r="F1577">
        <f t="shared" ref="F1577:F1587" si="98">F1576</f>
        <v>393</v>
      </c>
      <c r="G1577">
        <f t="shared" si="96"/>
        <v>150</v>
      </c>
      <c r="H1577" t="str">
        <f t="shared" si="90"/>
        <v>黏土</v>
      </c>
      <c r="I1577">
        <v>430</v>
      </c>
      <c r="J1577">
        <v>1070</v>
      </c>
      <c r="K1577" t="s">
        <v>22</v>
      </c>
      <c r="L1577">
        <v>18.53</v>
      </c>
      <c r="M1577">
        <v>6.82</v>
      </c>
      <c r="N1577" t="str">
        <f t="shared" si="97"/>
        <v>4环</v>
      </c>
      <c r="O1577">
        <v>200</v>
      </c>
      <c r="P1577">
        <v>5</v>
      </c>
      <c r="Q1577">
        <v>40</v>
      </c>
      <c r="R1577">
        <v>18</v>
      </c>
      <c r="S1577">
        <v>0.93300000000000005</v>
      </c>
    </row>
    <row r="1578" spans="1:19" x14ac:dyDescent="0.25">
      <c r="A1578">
        <v>1046</v>
      </c>
      <c r="B1578">
        <f t="shared" si="93"/>
        <v>2</v>
      </c>
      <c r="C1578" t="s">
        <v>35</v>
      </c>
      <c r="D1578">
        <v>5.18</v>
      </c>
      <c r="E1578">
        <v>0.13200000000000001</v>
      </c>
      <c r="F1578">
        <v>393</v>
      </c>
      <c r="G1578">
        <v>150</v>
      </c>
      <c r="H1578" t="str">
        <f t="shared" si="90"/>
        <v>黏土</v>
      </c>
      <c r="I1578">
        <v>430</v>
      </c>
      <c r="J1578">
        <v>1070</v>
      </c>
      <c r="K1578" t="s">
        <v>22</v>
      </c>
      <c r="L1578">
        <v>18.53</v>
      </c>
      <c r="M1578">
        <v>6.82</v>
      </c>
      <c r="N1578" t="s">
        <v>32</v>
      </c>
      <c r="O1578">
        <v>250</v>
      </c>
      <c r="P1578">
        <v>5</v>
      </c>
      <c r="Q1578">
        <v>40</v>
      </c>
      <c r="R1578">
        <v>2</v>
      </c>
      <c r="S1578">
        <v>0.28599999999999998</v>
      </c>
    </row>
    <row r="1579" spans="1:19" x14ac:dyDescent="0.25">
      <c r="A1579">
        <v>1046</v>
      </c>
      <c r="B1579">
        <f t="shared" si="93"/>
        <v>2</v>
      </c>
      <c r="C1579" t="s">
        <v>35</v>
      </c>
      <c r="D1579">
        <v>5.18</v>
      </c>
      <c r="E1579">
        <v>0.13200000000000001</v>
      </c>
      <c r="F1579">
        <f t="shared" si="98"/>
        <v>393</v>
      </c>
      <c r="G1579">
        <f t="shared" ref="G1579:G1587" si="99">G1578</f>
        <v>150</v>
      </c>
      <c r="H1579" t="str">
        <f t="shared" si="90"/>
        <v>黏土</v>
      </c>
      <c r="I1579">
        <v>430</v>
      </c>
      <c r="J1579">
        <v>1070</v>
      </c>
      <c r="K1579" t="s">
        <v>22</v>
      </c>
      <c r="L1579">
        <v>18.53</v>
      </c>
      <c r="M1579">
        <v>6.82</v>
      </c>
      <c r="N1579" t="str">
        <f t="shared" ref="N1579:N1587" si="100">N1578</f>
        <v>4环</v>
      </c>
      <c r="O1579">
        <v>250</v>
      </c>
      <c r="P1579">
        <v>5</v>
      </c>
      <c r="Q1579">
        <v>40</v>
      </c>
      <c r="R1579">
        <v>4</v>
      </c>
      <c r="S1579">
        <v>0.35</v>
      </c>
    </row>
    <row r="1580" spans="1:19" x14ac:dyDescent="0.25">
      <c r="A1580">
        <v>1046</v>
      </c>
      <c r="B1580">
        <f t="shared" si="93"/>
        <v>2</v>
      </c>
      <c r="C1580" t="s">
        <v>35</v>
      </c>
      <c r="D1580">
        <v>5.18</v>
      </c>
      <c r="E1580">
        <v>0.13200000000000001</v>
      </c>
      <c r="F1580">
        <f t="shared" si="98"/>
        <v>393</v>
      </c>
      <c r="G1580">
        <f t="shared" si="99"/>
        <v>150</v>
      </c>
      <c r="H1580" t="str">
        <f t="shared" si="90"/>
        <v>黏土</v>
      </c>
      <c r="I1580">
        <v>430</v>
      </c>
      <c r="J1580">
        <v>1070</v>
      </c>
      <c r="K1580" t="s">
        <v>22</v>
      </c>
      <c r="L1580">
        <v>18.53</v>
      </c>
      <c r="M1580">
        <v>6.82</v>
      </c>
      <c r="N1580" t="str">
        <f t="shared" si="100"/>
        <v>4环</v>
      </c>
      <c r="O1580">
        <v>250</v>
      </c>
      <c r="P1580">
        <v>5</v>
      </c>
      <c r="Q1580">
        <v>40</v>
      </c>
      <c r="R1580">
        <v>6</v>
      </c>
      <c r="S1580">
        <v>0.44800000000000001</v>
      </c>
    </row>
    <row r="1581" spans="1:19" x14ac:dyDescent="0.25">
      <c r="A1581">
        <v>1046</v>
      </c>
      <c r="B1581">
        <f t="shared" si="93"/>
        <v>2</v>
      </c>
      <c r="C1581" t="s">
        <v>35</v>
      </c>
      <c r="D1581">
        <v>5.18</v>
      </c>
      <c r="E1581">
        <v>0.13200000000000001</v>
      </c>
      <c r="F1581">
        <f t="shared" si="98"/>
        <v>393</v>
      </c>
      <c r="G1581">
        <f t="shared" si="99"/>
        <v>150</v>
      </c>
      <c r="H1581" t="str">
        <f t="shared" si="90"/>
        <v>黏土</v>
      </c>
      <c r="I1581">
        <v>430</v>
      </c>
      <c r="J1581">
        <v>1070</v>
      </c>
      <c r="K1581" t="s">
        <v>22</v>
      </c>
      <c r="L1581">
        <v>18.53</v>
      </c>
      <c r="M1581">
        <v>6.82</v>
      </c>
      <c r="N1581" t="str">
        <f t="shared" si="100"/>
        <v>4环</v>
      </c>
      <c r="O1581">
        <v>250</v>
      </c>
      <c r="P1581">
        <v>5</v>
      </c>
      <c r="Q1581">
        <v>40</v>
      </c>
      <c r="R1581">
        <v>12</v>
      </c>
      <c r="S1581">
        <v>0.72099999999999997</v>
      </c>
    </row>
    <row r="1582" spans="1:19" x14ac:dyDescent="0.25">
      <c r="A1582">
        <v>1046</v>
      </c>
      <c r="B1582">
        <f t="shared" si="93"/>
        <v>2</v>
      </c>
      <c r="C1582" t="s">
        <v>35</v>
      </c>
      <c r="D1582">
        <v>5.18</v>
      </c>
      <c r="E1582">
        <v>0.13200000000000001</v>
      </c>
      <c r="F1582">
        <f t="shared" si="98"/>
        <v>393</v>
      </c>
      <c r="G1582">
        <f t="shared" si="99"/>
        <v>150</v>
      </c>
      <c r="H1582" t="str">
        <f t="shared" si="90"/>
        <v>黏土</v>
      </c>
      <c r="I1582">
        <v>430</v>
      </c>
      <c r="J1582">
        <v>1070</v>
      </c>
      <c r="K1582" t="s">
        <v>22</v>
      </c>
      <c r="L1582">
        <v>18.53</v>
      </c>
      <c r="M1582">
        <v>6.82</v>
      </c>
      <c r="N1582" t="str">
        <f t="shared" si="100"/>
        <v>4环</v>
      </c>
      <c r="O1582">
        <v>250</v>
      </c>
      <c r="P1582">
        <v>5</v>
      </c>
      <c r="Q1582">
        <v>40</v>
      </c>
      <c r="R1582">
        <v>18</v>
      </c>
      <c r="S1582">
        <v>0.91500000000000004</v>
      </c>
    </row>
    <row r="1583" spans="1:19" x14ac:dyDescent="0.25">
      <c r="A1583">
        <v>1046</v>
      </c>
      <c r="B1583">
        <f t="shared" si="93"/>
        <v>2</v>
      </c>
      <c r="C1583" t="s">
        <v>35</v>
      </c>
      <c r="D1583">
        <v>5.18</v>
      </c>
      <c r="E1583">
        <v>0.13200000000000001</v>
      </c>
      <c r="F1583">
        <f t="shared" si="98"/>
        <v>393</v>
      </c>
      <c r="G1583">
        <f t="shared" si="99"/>
        <v>150</v>
      </c>
      <c r="H1583" t="str">
        <f t="shared" si="90"/>
        <v>黏土</v>
      </c>
      <c r="I1583">
        <v>430</v>
      </c>
      <c r="J1583">
        <v>1070</v>
      </c>
      <c r="K1583" t="s">
        <v>22</v>
      </c>
      <c r="L1583">
        <v>18.53</v>
      </c>
      <c r="M1583">
        <v>6.82</v>
      </c>
      <c r="N1583" t="str">
        <f t="shared" si="100"/>
        <v>4环</v>
      </c>
      <c r="O1583">
        <v>300</v>
      </c>
      <c r="P1583">
        <v>5</v>
      </c>
      <c r="Q1583">
        <v>40</v>
      </c>
      <c r="R1583">
        <v>2</v>
      </c>
      <c r="S1583">
        <v>0.28599999999999998</v>
      </c>
    </row>
    <row r="1584" spans="1:19" x14ac:dyDescent="0.25">
      <c r="A1584">
        <f>A1583</f>
        <v>1046</v>
      </c>
      <c r="B1584">
        <f t="shared" si="93"/>
        <v>2</v>
      </c>
      <c r="C1584" t="s">
        <v>35</v>
      </c>
      <c r="D1584">
        <v>5.18</v>
      </c>
      <c r="E1584">
        <v>0.13200000000000001</v>
      </c>
      <c r="F1584">
        <f t="shared" si="98"/>
        <v>393</v>
      </c>
      <c r="G1584">
        <f t="shared" si="99"/>
        <v>150</v>
      </c>
      <c r="H1584" t="str">
        <f t="shared" si="90"/>
        <v>黏土</v>
      </c>
      <c r="I1584">
        <v>430</v>
      </c>
      <c r="J1584">
        <f>J1583</f>
        <v>1070</v>
      </c>
      <c r="L1584">
        <f>L1583</f>
        <v>18.53</v>
      </c>
      <c r="M1584">
        <f>M1583</f>
        <v>6.82</v>
      </c>
      <c r="N1584" t="str">
        <f t="shared" si="100"/>
        <v>4环</v>
      </c>
      <c r="O1584">
        <v>300</v>
      </c>
      <c r="P1584">
        <v>5</v>
      </c>
      <c r="Q1584">
        <v>40</v>
      </c>
      <c r="R1584">
        <v>4</v>
      </c>
      <c r="S1584">
        <v>0.34899999999999998</v>
      </c>
    </row>
    <row r="1585" spans="1:19" x14ac:dyDescent="0.25">
      <c r="A1585">
        <f t="shared" ref="A1585:A1587" si="101">A1584</f>
        <v>1046</v>
      </c>
      <c r="B1585">
        <f t="shared" si="93"/>
        <v>2</v>
      </c>
      <c r="C1585" t="s">
        <v>35</v>
      </c>
      <c r="D1585">
        <v>5.18</v>
      </c>
      <c r="E1585">
        <v>0.13200000000000001</v>
      </c>
      <c r="F1585">
        <f t="shared" si="98"/>
        <v>393</v>
      </c>
      <c r="G1585">
        <f t="shared" si="99"/>
        <v>150</v>
      </c>
      <c r="H1585" t="str">
        <f t="shared" si="90"/>
        <v>黏土</v>
      </c>
      <c r="I1585">
        <v>430</v>
      </c>
      <c r="J1585">
        <f t="shared" ref="J1585:J1587" si="102">J1584</f>
        <v>1070</v>
      </c>
      <c r="L1585">
        <f t="shared" ref="L1585:L1587" si="103">L1584</f>
        <v>18.53</v>
      </c>
      <c r="M1585">
        <f t="shared" ref="M1585:M1587" si="104">M1584</f>
        <v>6.82</v>
      </c>
      <c r="N1585" t="str">
        <f t="shared" si="100"/>
        <v>4环</v>
      </c>
      <c r="O1585">
        <v>300</v>
      </c>
      <c r="P1585">
        <v>5</v>
      </c>
      <c r="Q1585">
        <v>40</v>
      </c>
      <c r="R1585">
        <v>6</v>
      </c>
      <c r="S1585">
        <v>0.44800000000000001</v>
      </c>
    </row>
    <row r="1586" spans="1:19" x14ac:dyDescent="0.25">
      <c r="A1586">
        <f t="shared" si="101"/>
        <v>1046</v>
      </c>
      <c r="B1586">
        <f t="shared" si="93"/>
        <v>2</v>
      </c>
      <c r="C1586" t="s">
        <v>35</v>
      </c>
      <c r="D1586">
        <v>5.18</v>
      </c>
      <c r="E1586">
        <v>0.13200000000000001</v>
      </c>
      <c r="F1586">
        <f t="shared" si="98"/>
        <v>393</v>
      </c>
      <c r="G1586">
        <f t="shared" si="99"/>
        <v>150</v>
      </c>
      <c r="H1586" t="str">
        <f t="shared" si="90"/>
        <v>黏土</v>
      </c>
      <c r="I1586">
        <v>430</v>
      </c>
      <c r="J1586">
        <f t="shared" si="102"/>
        <v>1070</v>
      </c>
      <c r="L1586">
        <f t="shared" si="103"/>
        <v>18.53</v>
      </c>
      <c r="M1586">
        <f t="shared" si="104"/>
        <v>6.82</v>
      </c>
      <c r="N1586" t="str">
        <f t="shared" si="100"/>
        <v>4环</v>
      </c>
      <c r="O1586">
        <v>300</v>
      </c>
      <c r="P1586">
        <v>5</v>
      </c>
      <c r="Q1586">
        <v>40</v>
      </c>
      <c r="R1586">
        <v>12</v>
      </c>
      <c r="S1586">
        <v>0.72099999999999997</v>
      </c>
    </row>
    <row r="1587" spans="1:19" x14ac:dyDescent="0.25">
      <c r="A1587">
        <f t="shared" si="101"/>
        <v>1046</v>
      </c>
      <c r="B1587">
        <v>2</v>
      </c>
      <c r="C1587" t="s">
        <v>35</v>
      </c>
      <c r="D1587">
        <v>5.18</v>
      </c>
      <c r="E1587">
        <v>0.13200000000000001</v>
      </c>
      <c r="F1587">
        <f t="shared" si="98"/>
        <v>393</v>
      </c>
      <c r="G1587">
        <f t="shared" si="99"/>
        <v>150</v>
      </c>
      <c r="H1587" t="str">
        <f t="shared" si="90"/>
        <v>黏土</v>
      </c>
      <c r="I1587">
        <v>430</v>
      </c>
      <c r="J1587">
        <f t="shared" si="102"/>
        <v>1070</v>
      </c>
      <c r="L1587">
        <f t="shared" si="103"/>
        <v>18.53</v>
      </c>
      <c r="M1587">
        <f t="shared" si="104"/>
        <v>6.82</v>
      </c>
      <c r="N1587" t="str">
        <f t="shared" si="100"/>
        <v>4环</v>
      </c>
      <c r="O1587">
        <v>300</v>
      </c>
      <c r="P1587">
        <v>5</v>
      </c>
      <c r="Q1587">
        <v>40</v>
      </c>
      <c r="R1587">
        <v>18</v>
      </c>
      <c r="S1587">
        <v>0.91600000000000004</v>
      </c>
    </row>
  </sheetData>
  <autoFilter ref="A1:S1587" xr:uid="{00000000-0009-0000-0000-000000000000}">
    <extLst>
      <etc:autoFilterAnalysis xmlns:etc="http://www.wps.cn/officeDocument/2017/etCustomData" etc:version="v1" etc:showPane="1"/>
    </extLst>
  </autoFilter>
  <phoneticPr fontId="2" type="noConversion"/>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tabSelected="1" topLeftCell="A13" workbookViewId="0">
      <selection activeCell="B9" sqref="B9"/>
    </sheetView>
  </sheetViews>
  <sheetFormatPr defaultColWidth="9" defaultRowHeight="14.4" x14ac:dyDescent="0.25"/>
  <sheetData>
    <row r="1" spans="1:8" x14ac:dyDescent="0.25">
      <c r="A1" s="1" t="s">
        <v>0</v>
      </c>
      <c r="B1" s="1" t="s">
        <v>61</v>
      </c>
      <c r="C1" s="1" t="s">
        <v>62</v>
      </c>
      <c r="D1" s="1" t="s">
        <v>63</v>
      </c>
      <c r="E1" s="1" t="s">
        <v>64</v>
      </c>
      <c r="F1" s="1" t="s">
        <v>65</v>
      </c>
      <c r="G1" s="1" t="s">
        <v>66</v>
      </c>
      <c r="H1" s="1" t="s">
        <v>67</v>
      </c>
    </row>
    <row r="2" spans="1:8" x14ac:dyDescent="0.25">
      <c r="A2">
        <v>1001</v>
      </c>
      <c r="B2" t="s">
        <v>68</v>
      </c>
      <c r="C2" t="s">
        <v>22</v>
      </c>
      <c r="D2" t="s">
        <v>69</v>
      </c>
      <c r="E2" t="s">
        <v>70</v>
      </c>
      <c r="F2" t="s">
        <v>71</v>
      </c>
      <c r="G2" t="s">
        <v>72</v>
      </c>
      <c r="H2" t="s">
        <v>73</v>
      </c>
    </row>
    <row r="3" spans="1:8" x14ac:dyDescent="0.25">
      <c r="A3">
        <v>1002</v>
      </c>
      <c r="B3" t="s">
        <v>74</v>
      </c>
      <c r="C3" t="s">
        <v>75</v>
      </c>
      <c r="D3" t="s">
        <v>76</v>
      </c>
      <c r="E3" t="s">
        <v>77</v>
      </c>
      <c r="F3" t="s">
        <v>78</v>
      </c>
      <c r="G3" t="s">
        <v>79</v>
      </c>
      <c r="H3" t="s">
        <v>80</v>
      </c>
    </row>
    <row r="4" spans="1:8" x14ac:dyDescent="0.25">
      <c r="A4">
        <v>1003</v>
      </c>
      <c r="B4" t="s">
        <v>81</v>
      </c>
      <c r="C4" t="s">
        <v>82</v>
      </c>
      <c r="D4" t="s">
        <v>83</v>
      </c>
      <c r="E4" t="s">
        <v>84</v>
      </c>
      <c r="F4" t="s">
        <v>85</v>
      </c>
      <c r="G4" t="s">
        <v>86</v>
      </c>
      <c r="H4" t="s">
        <v>87</v>
      </c>
    </row>
    <row r="5" spans="1:8" x14ac:dyDescent="0.25">
      <c r="A5">
        <v>1004</v>
      </c>
      <c r="B5" t="s">
        <v>88</v>
      </c>
      <c r="C5" t="s">
        <v>89</v>
      </c>
      <c r="D5" t="s">
        <v>90</v>
      </c>
      <c r="E5" t="s">
        <v>91</v>
      </c>
      <c r="F5" t="s">
        <v>92</v>
      </c>
      <c r="G5" t="s">
        <v>93</v>
      </c>
      <c r="H5" t="s">
        <v>94</v>
      </c>
    </row>
    <row r="6" spans="1:8" x14ac:dyDescent="0.25">
      <c r="A6">
        <v>1005</v>
      </c>
      <c r="B6" t="s">
        <v>95</v>
      </c>
      <c r="C6" t="s">
        <v>96</v>
      </c>
      <c r="D6" t="s">
        <v>97</v>
      </c>
      <c r="E6" t="s">
        <v>98</v>
      </c>
      <c r="F6" t="s">
        <v>99</v>
      </c>
      <c r="G6" t="s">
        <v>100</v>
      </c>
      <c r="H6" t="s">
        <v>101</v>
      </c>
    </row>
    <row r="7" spans="1:8" x14ac:dyDescent="0.25">
      <c r="A7">
        <v>1006</v>
      </c>
      <c r="B7" t="s">
        <v>102</v>
      </c>
      <c r="C7" t="s">
        <v>103</v>
      </c>
      <c r="D7" t="s">
        <v>104</v>
      </c>
      <c r="E7" t="s">
        <v>105</v>
      </c>
      <c r="F7" t="s">
        <v>106</v>
      </c>
      <c r="G7" t="s">
        <v>107</v>
      </c>
      <c r="H7" t="s">
        <v>108</v>
      </c>
    </row>
    <row r="8" spans="1:8" x14ac:dyDescent="0.25">
      <c r="A8">
        <v>1007</v>
      </c>
      <c r="B8" t="s">
        <v>109</v>
      </c>
      <c r="C8" t="s">
        <v>110</v>
      </c>
      <c r="D8" t="s">
        <v>111</v>
      </c>
      <c r="E8" t="s">
        <v>112</v>
      </c>
      <c r="F8" t="s">
        <v>113</v>
      </c>
      <c r="G8" t="s">
        <v>114</v>
      </c>
      <c r="H8" t="s">
        <v>115</v>
      </c>
    </row>
    <row r="9" spans="1:8" x14ac:dyDescent="0.25">
      <c r="A9">
        <v>1008</v>
      </c>
      <c r="B9" t="s">
        <v>116</v>
      </c>
      <c r="C9" t="s">
        <v>117</v>
      </c>
      <c r="D9" t="s">
        <v>118</v>
      </c>
      <c r="E9" t="s">
        <v>119</v>
      </c>
      <c r="F9" t="s">
        <v>120</v>
      </c>
      <c r="G9" t="s">
        <v>121</v>
      </c>
      <c r="H9" t="s">
        <v>122</v>
      </c>
    </row>
    <row r="10" spans="1:8" x14ac:dyDescent="0.25">
      <c r="A10">
        <v>1009</v>
      </c>
      <c r="B10" t="s">
        <v>123</v>
      </c>
      <c r="C10" t="s">
        <v>124</v>
      </c>
      <c r="D10" t="s">
        <v>125</v>
      </c>
      <c r="E10" t="s">
        <v>126</v>
      </c>
      <c r="F10" t="s">
        <v>127</v>
      </c>
      <c r="G10" t="s">
        <v>128</v>
      </c>
      <c r="H10" t="s">
        <v>129</v>
      </c>
    </row>
    <row r="11" spans="1:8" x14ac:dyDescent="0.25">
      <c r="A11">
        <v>1010</v>
      </c>
      <c r="B11" t="s">
        <v>130</v>
      </c>
      <c r="C11" t="s">
        <v>131</v>
      </c>
      <c r="D11" t="s">
        <v>104</v>
      </c>
      <c r="E11" t="s">
        <v>132</v>
      </c>
      <c r="F11" t="s">
        <v>133</v>
      </c>
      <c r="G11" t="s">
        <v>134</v>
      </c>
      <c r="H11" t="s">
        <v>135</v>
      </c>
    </row>
    <row r="12" spans="1:8" x14ac:dyDescent="0.25">
      <c r="A12">
        <v>1011</v>
      </c>
      <c r="B12" t="s">
        <v>136</v>
      </c>
      <c r="C12" t="s">
        <v>137</v>
      </c>
      <c r="D12" t="s">
        <v>138</v>
      </c>
      <c r="E12" t="s">
        <v>139</v>
      </c>
      <c r="F12" t="s">
        <v>140</v>
      </c>
      <c r="G12" t="s">
        <v>141</v>
      </c>
      <c r="H12" t="s">
        <v>142</v>
      </c>
    </row>
    <row r="13" spans="1:8" x14ac:dyDescent="0.25">
      <c r="A13">
        <v>1012</v>
      </c>
      <c r="B13" t="s">
        <v>143</v>
      </c>
      <c r="C13" t="s">
        <v>144</v>
      </c>
      <c r="D13" t="s">
        <v>145</v>
      </c>
      <c r="E13" t="s">
        <v>146</v>
      </c>
      <c r="F13" t="s">
        <v>147</v>
      </c>
      <c r="G13" t="s">
        <v>148</v>
      </c>
      <c r="H13" t="s">
        <v>149</v>
      </c>
    </row>
    <row r="14" spans="1:8" x14ac:dyDescent="0.25">
      <c r="A14">
        <v>1013</v>
      </c>
      <c r="B14" t="s">
        <v>150</v>
      </c>
      <c r="C14" t="s">
        <v>151</v>
      </c>
      <c r="D14" t="s">
        <v>152</v>
      </c>
      <c r="E14" t="s">
        <v>153</v>
      </c>
      <c r="F14" t="s">
        <v>154</v>
      </c>
      <c r="G14" t="s">
        <v>155</v>
      </c>
      <c r="H14" t="s">
        <v>156</v>
      </c>
    </row>
    <row r="15" spans="1:8" x14ac:dyDescent="0.25">
      <c r="A15">
        <v>1014</v>
      </c>
      <c r="B15" t="s">
        <v>157</v>
      </c>
      <c r="C15" t="s">
        <v>158</v>
      </c>
      <c r="D15" t="s">
        <v>159</v>
      </c>
      <c r="E15" t="s">
        <v>160</v>
      </c>
      <c r="F15" t="s">
        <v>161</v>
      </c>
      <c r="G15" t="s">
        <v>162</v>
      </c>
      <c r="H15" t="s">
        <v>163</v>
      </c>
    </row>
    <row r="16" spans="1:8" x14ac:dyDescent="0.25">
      <c r="A16">
        <v>1015</v>
      </c>
      <c r="B16" t="s">
        <v>164</v>
      </c>
      <c r="C16" t="s">
        <v>165</v>
      </c>
      <c r="D16" t="s">
        <v>166</v>
      </c>
      <c r="E16" t="s">
        <v>167</v>
      </c>
      <c r="F16" t="s">
        <v>168</v>
      </c>
      <c r="G16" t="s">
        <v>169</v>
      </c>
      <c r="H16" t="s">
        <v>170</v>
      </c>
    </row>
    <row r="17" spans="1:8" x14ac:dyDescent="0.25">
      <c r="A17">
        <v>1016</v>
      </c>
      <c r="B17" t="s">
        <v>171</v>
      </c>
      <c r="C17" t="s">
        <v>172</v>
      </c>
      <c r="D17" t="s">
        <v>173</v>
      </c>
      <c r="E17" t="s">
        <v>174</v>
      </c>
      <c r="F17" t="s">
        <v>175</v>
      </c>
      <c r="G17" t="s">
        <v>176</v>
      </c>
      <c r="H17" t="s">
        <v>177</v>
      </c>
    </row>
    <row r="18" spans="1:8" x14ac:dyDescent="0.25">
      <c r="A18">
        <v>1017</v>
      </c>
      <c r="B18" t="s">
        <v>178</v>
      </c>
      <c r="C18" t="s">
        <v>179</v>
      </c>
      <c r="D18" t="s">
        <v>152</v>
      </c>
      <c r="E18" t="s">
        <v>153</v>
      </c>
      <c r="F18" t="s">
        <v>180</v>
      </c>
      <c r="G18" t="s">
        <v>181</v>
      </c>
      <c r="H18" t="s">
        <v>182</v>
      </c>
    </row>
    <row r="19" spans="1:8" x14ac:dyDescent="0.25">
      <c r="A19">
        <v>1018</v>
      </c>
      <c r="B19" t="s">
        <v>183</v>
      </c>
      <c r="C19" t="s">
        <v>184</v>
      </c>
      <c r="D19" t="s">
        <v>152</v>
      </c>
      <c r="E19" t="s">
        <v>185</v>
      </c>
      <c r="F19" t="s">
        <v>186</v>
      </c>
      <c r="G19" t="s">
        <v>187</v>
      </c>
      <c r="H19" t="s">
        <v>188</v>
      </c>
    </row>
    <row r="20" spans="1:8" x14ac:dyDescent="0.25">
      <c r="A20">
        <v>1019</v>
      </c>
      <c r="B20" t="s">
        <v>189</v>
      </c>
      <c r="C20" t="s">
        <v>22</v>
      </c>
      <c r="D20" t="s">
        <v>69</v>
      </c>
      <c r="E20" t="s">
        <v>190</v>
      </c>
      <c r="F20" t="s">
        <v>191</v>
      </c>
      <c r="G20" t="s">
        <v>192</v>
      </c>
      <c r="H20" t="s">
        <v>193</v>
      </c>
    </row>
    <row r="21" spans="1:8" x14ac:dyDescent="0.25">
      <c r="A21">
        <v>1020</v>
      </c>
      <c r="B21" t="s">
        <v>194</v>
      </c>
      <c r="C21" t="s">
        <v>22</v>
      </c>
      <c r="D21" t="s">
        <v>69</v>
      </c>
      <c r="E21" t="s">
        <v>195</v>
      </c>
      <c r="F21" t="s">
        <v>196</v>
      </c>
      <c r="G21" t="s">
        <v>197</v>
      </c>
      <c r="H21" t="s">
        <v>198</v>
      </c>
    </row>
    <row r="22" spans="1:8" x14ac:dyDescent="0.25">
      <c r="A22">
        <v>1021</v>
      </c>
      <c r="B22" t="s">
        <v>199</v>
      </c>
      <c r="C22" t="s">
        <v>22</v>
      </c>
      <c r="D22" t="s">
        <v>69</v>
      </c>
      <c r="E22" t="s">
        <v>200</v>
      </c>
      <c r="F22" t="s">
        <v>201</v>
      </c>
      <c r="G22" t="s">
        <v>202</v>
      </c>
      <c r="H22" t="s">
        <v>203</v>
      </c>
    </row>
    <row r="23" spans="1:8" x14ac:dyDescent="0.25">
      <c r="A23">
        <v>1022</v>
      </c>
      <c r="B23" t="s">
        <v>204</v>
      </c>
      <c r="C23" t="s">
        <v>22</v>
      </c>
      <c r="D23" t="s">
        <v>314</v>
      </c>
      <c r="E23" t="s">
        <v>315</v>
      </c>
      <c r="F23" t="s">
        <v>205</v>
      </c>
      <c r="G23" t="s">
        <v>206</v>
      </c>
      <c r="H23" t="s">
        <v>207</v>
      </c>
    </row>
    <row r="24" spans="1:8" x14ac:dyDescent="0.25">
      <c r="A24">
        <v>1023</v>
      </c>
      <c r="B24" t="s">
        <v>208</v>
      </c>
      <c r="C24" t="s">
        <v>22</v>
      </c>
      <c r="D24" t="s">
        <v>69</v>
      </c>
      <c r="E24" t="s">
        <v>209</v>
      </c>
      <c r="F24" t="s">
        <v>210</v>
      </c>
      <c r="G24" t="s">
        <v>211</v>
      </c>
      <c r="H24" t="s">
        <v>212</v>
      </c>
    </row>
    <row r="25" spans="1:8" x14ac:dyDescent="0.25">
      <c r="A25">
        <v>1024</v>
      </c>
      <c r="B25" t="s">
        <v>213</v>
      </c>
      <c r="C25" t="s">
        <v>22</v>
      </c>
      <c r="D25" t="s">
        <v>69</v>
      </c>
      <c r="E25" t="s">
        <v>214</v>
      </c>
      <c r="F25" t="s">
        <v>210</v>
      </c>
      <c r="G25" t="s">
        <v>215</v>
      </c>
      <c r="H25" t="s">
        <v>216</v>
      </c>
    </row>
    <row r="26" spans="1:8" x14ac:dyDescent="0.25">
      <c r="A26">
        <v>1025</v>
      </c>
      <c r="B26" t="s">
        <v>217</v>
      </c>
      <c r="C26" t="s">
        <v>22</v>
      </c>
      <c r="D26" t="s">
        <v>69</v>
      </c>
      <c r="E26" t="s">
        <v>218</v>
      </c>
      <c r="F26" t="s">
        <v>201</v>
      </c>
      <c r="G26" t="s">
        <v>219</v>
      </c>
      <c r="H26" t="s">
        <v>220</v>
      </c>
    </row>
    <row r="27" spans="1:8" x14ac:dyDescent="0.25">
      <c r="A27">
        <v>1026</v>
      </c>
      <c r="B27" t="s">
        <v>221</v>
      </c>
      <c r="C27" t="s">
        <v>222</v>
      </c>
      <c r="D27" t="s">
        <v>223</v>
      </c>
      <c r="E27" t="s">
        <v>119</v>
      </c>
      <c r="F27" t="s">
        <v>224</v>
      </c>
      <c r="G27" t="s">
        <v>225</v>
      </c>
      <c r="H27" t="s">
        <v>226</v>
      </c>
    </row>
    <row r="28" spans="1:8" x14ac:dyDescent="0.25">
      <c r="A28">
        <v>1027</v>
      </c>
      <c r="B28" t="s">
        <v>227</v>
      </c>
      <c r="C28" t="s">
        <v>228</v>
      </c>
      <c r="D28" t="s">
        <v>229</v>
      </c>
      <c r="E28" t="s">
        <v>230</v>
      </c>
      <c r="F28" t="s">
        <v>231</v>
      </c>
      <c r="G28" t="s">
        <v>232</v>
      </c>
      <c r="H28" t="s">
        <v>233</v>
      </c>
    </row>
    <row r="29" spans="1:8" x14ac:dyDescent="0.25">
      <c r="A29">
        <v>1028</v>
      </c>
      <c r="B29" t="s">
        <v>234</v>
      </c>
      <c r="C29" t="s">
        <v>235</v>
      </c>
      <c r="D29" t="s">
        <v>236</v>
      </c>
      <c r="E29" t="s">
        <v>237</v>
      </c>
      <c r="F29" t="s">
        <v>238</v>
      </c>
      <c r="G29" t="s">
        <v>239</v>
      </c>
      <c r="H29" t="s">
        <v>240</v>
      </c>
    </row>
    <row r="30" spans="1:8" x14ac:dyDescent="0.25">
      <c r="A30">
        <v>1029</v>
      </c>
      <c r="B30" t="s">
        <v>241</v>
      </c>
      <c r="C30" t="s">
        <v>242</v>
      </c>
      <c r="D30" t="s">
        <v>243</v>
      </c>
      <c r="E30" t="s">
        <v>244</v>
      </c>
      <c r="F30" t="s">
        <v>245</v>
      </c>
      <c r="G30" t="s">
        <v>246</v>
      </c>
      <c r="H30" t="s">
        <v>247</v>
      </c>
    </row>
    <row r="31" spans="1:8" x14ac:dyDescent="0.25">
      <c r="A31">
        <v>1030</v>
      </c>
      <c r="B31" t="s">
        <v>248</v>
      </c>
      <c r="C31" t="s">
        <v>249</v>
      </c>
      <c r="D31" t="s">
        <v>250</v>
      </c>
      <c r="E31" t="s">
        <v>251</v>
      </c>
      <c r="F31" t="s">
        <v>252</v>
      </c>
      <c r="G31" t="s">
        <v>253</v>
      </c>
      <c r="H31" t="s">
        <v>254</v>
      </c>
    </row>
    <row r="32" spans="1:8" x14ac:dyDescent="0.25">
      <c r="A32">
        <v>1031</v>
      </c>
      <c r="B32" t="s">
        <v>255</v>
      </c>
      <c r="C32" t="s">
        <v>256</v>
      </c>
      <c r="D32" t="s">
        <v>257</v>
      </c>
      <c r="E32" t="s">
        <v>258</v>
      </c>
      <c r="F32" t="s">
        <v>259</v>
      </c>
      <c r="G32" t="s">
        <v>260</v>
      </c>
      <c r="H32" t="s">
        <v>261</v>
      </c>
    </row>
    <row r="33" spans="1:8" x14ac:dyDescent="0.25">
      <c r="A33">
        <v>1032</v>
      </c>
      <c r="B33" t="s">
        <v>262</v>
      </c>
      <c r="C33" t="s">
        <v>263</v>
      </c>
      <c r="D33" t="s">
        <v>257</v>
      </c>
      <c r="E33" t="s">
        <v>264</v>
      </c>
      <c r="F33" t="s">
        <v>265</v>
      </c>
      <c r="G33" t="s">
        <v>266</v>
      </c>
      <c r="H33" t="s">
        <v>267</v>
      </c>
    </row>
    <row r="34" spans="1:8" x14ac:dyDescent="0.25">
      <c r="A34">
        <v>1033</v>
      </c>
      <c r="B34" t="s">
        <v>268</v>
      </c>
      <c r="C34" t="s">
        <v>269</v>
      </c>
      <c r="D34" t="s">
        <v>270</v>
      </c>
      <c r="E34" t="s">
        <v>271</v>
      </c>
      <c r="F34" t="s">
        <v>272</v>
      </c>
      <c r="G34" t="s">
        <v>273</v>
      </c>
      <c r="H34" t="s">
        <v>274</v>
      </c>
    </row>
    <row r="35" spans="1:8" x14ac:dyDescent="0.25">
      <c r="A35">
        <v>1034</v>
      </c>
      <c r="B35" t="s">
        <v>275</v>
      </c>
      <c r="C35" t="s">
        <v>276</v>
      </c>
      <c r="D35" t="s">
        <v>111</v>
      </c>
      <c r="E35" t="s">
        <v>277</v>
      </c>
      <c r="F35" t="s">
        <v>278</v>
      </c>
      <c r="G35" t="s">
        <v>279</v>
      </c>
      <c r="H35" t="s">
        <v>280</v>
      </c>
    </row>
    <row r="36" spans="1:8" x14ac:dyDescent="0.25">
      <c r="A36">
        <v>1035</v>
      </c>
      <c r="B36" t="s">
        <v>281</v>
      </c>
      <c r="C36" t="s">
        <v>282</v>
      </c>
      <c r="D36" t="s">
        <v>283</v>
      </c>
      <c r="E36" t="s">
        <v>284</v>
      </c>
      <c r="F36" t="s">
        <v>285</v>
      </c>
      <c r="G36" t="s">
        <v>286</v>
      </c>
      <c r="H36" t="s">
        <v>287</v>
      </c>
    </row>
    <row r="37" spans="1:8" x14ac:dyDescent="0.25">
      <c r="A37">
        <v>1036</v>
      </c>
      <c r="B37" t="s">
        <v>288</v>
      </c>
      <c r="C37" t="s">
        <v>22</v>
      </c>
      <c r="D37" t="s">
        <v>289</v>
      </c>
      <c r="E37" t="s">
        <v>290</v>
      </c>
      <c r="F37">
        <v>2021</v>
      </c>
      <c r="G37" t="s">
        <v>291</v>
      </c>
      <c r="H37" t="s">
        <v>292</v>
      </c>
    </row>
    <row r="38" spans="1:8" x14ac:dyDescent="0.25">
      <c r="A38">
        <v>1037</v>
      </c>
      <c r="B38" t="s">
        <v>293</v>
      </c>
      <c r="C38" t="s">
        <v>22</v>
      </c>
      <c r="D38" t="s">
        <v>294</v>
      </c>
      <c r="E38" t="s">
        <v>295</v>
      </c>
      <c r="F38">
        <v>2022</v>
      </c>
      <c r="G38" t="s">
        <v>296</v>
      </c>
      <c r="H38" t="s">
        <v>297</v>
      </c>
    </row>
    <row r="39" spans="1:8" x14ac:dyDescent="0.25">
      <c r="A39">
        <v>1038</v>
      </c>
      <c r="B39" t="s">
        <v>298</v>
      </c>
      <c r="C39" t="s">
        <v>22</v>
      </c>
      <c r="D39" t="s">
        <v>299</v>
      </c>
      <c r="E39" t="s">
        <v>300</v>
      </c>
      <c r="F39">
        <v>2022</v>
      </c>
      <c r="G39" t="s">
        <v>301</v>
      </c>
      <c r="H39" t="s">
        <v>302</v>
      </c>
    </row>
    <row r="40" spans="1:8" x14ac:dyDescent="0.25">
      <c r="A40">
        <v>1039</v>
      </c>
      <c r="B40" t="s">
        <v>303</v>
      </c>
      <c r="C40" t="s">
        <v>22</v>
      </c>
      <c r="D40" t="s">
        <v>304</v>
      </c>
      <c r="E40" t="s">
        <v>305</v>
      </c>
      <c r="F40">
        <v>2023</v>
      </c>
      <c r="G40" t="s">
        <v>306</v>
      </c>
      <c r="H40" t="s">
        <v>307</v>
      </c>
    </row>
    <row r="41" spans="1:8" x14ac:dyDescent="0.25">
      <c r="A41">
        <v>1040</v>
      </c>
      <c r="B41" t="s">
        <v>308</v>
      </c>
      <c r="C41" t="s">
        <v>22</v>
      </c>
      <c r="D41" t="s">
        <v>309</v>
      </c>
      <c r="E41" t="s">
        <v>310</v>
      </c>
      <c r="F41" t="s">
        <v>311</v>
      </c>
      <c r="G41" t="s">
        <v>312</v>
      </c>
      <c r="H41" t="s">
        <v>313</v>
      </c>
    </row>
    <row r="42" spans="1:8" x14ac:dyDescent="0.25">
      <c r="A42">
        <v>1042</v>
      </c>
      <c r="B42" t="s">
        <v>316</v>
      </c>
      <c r="C42" t="s">
        <v>22</v>
      </c>
      <c r="D42" t="s">
        <v>317</v>
      </c>
      <c r="E42" t="s">
        <v>318</v>
      </c>
      <c r="F42">
        <v>2024</v>
      </c>
      <c r="G42" t="s">
        <v>319</v>
      </c>
      <c r="H42" t="s">
        <v>320</v>
      </c>
    </row>
    <row r="43" spans="1:8" x14ac:dyDescent="0.25">
      <c r="A43">
        <v>1043</v>
      </c>
      <c r="B43" t="s">
        <v>321</v>
      </c>
      <c r="C43" t="s">
        <v>322</v>
      </c>
      <c r="D43" t="s">
        <v>323</v>
      </c>
      <c r="E43" t="s">
        <v>324</v>
      </c>
      <c r="F43" t="s">
        <v>325</v>
      </c>
      <c r="G43" t="s">
        <v>326</v>
      </c>
      <c r="H43" t="s">
        <v>327</v>
      </c>
    </row>
    <row r="44" spans="1:8" x14ac:dyDescent="0.25">
      <c r="A44">
        <v>1044</v>
      </c>
      <c r="B44" t="s">
        <v>328</v>
      </c>
      <c r="C44" t="s">
        <v>22</v>
      </c>
      <c r="D44" t="s">
        <v>329</v>
      </c>
      <c r="E44" t="s">
        <v>330</v>
      </c>
      <c r="F44">
        <v>2010</v>
      </c>
      <c r="G44" t="s">
        <v>331</v>
      </c>
      <c r="H44" t="s">
        <v>22</v>
      </c>
    </row>
    <row r="45" spans="1:8" x14ac:dyDescent="0.25">
      <c r="A45">
        <v>1045</v>
      </c>
      <c r="B45" t="s">
        <v>332</v>
      </c>
      <c r="C45" t="s">
        <v>22</v>
      </c>
      <c r="D45" t="s">
        <v>333</v>
      </c>
      <c r="E45" t="s">
        <v>334</v>
      </c>
      <c r="F45">
        <v>2025</v>
      </c>
      <c r="G45" t="s">
        <v>335</v>
      </c>
      <c r="H45" t="s">
        <v>336</v>
      </c>
    </row>
    <row r="46" spans="1:8" x14ac:dyDescent="0.25">
      <c r="A46">
        <v>1046</v>
      </c>
      <c r="B46" t="s">
        <v>337</v>
      </c>
      <c r="C46" t="s">
        <v>22</v>
      </c>
      <c r="D46" t="s">
        <v>338</v>
      </c>
      <c r="E46" t="s">
        <v>339</v>
      </c>
      <c r="F46">
        <v>2016</v>
      </c>
      <c r="G46" t="s">
        <v>340</v>
      </c>
      <c r="H46" t="s">
        <v>22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data</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志帅 胡</cp:lastModifiedBy>
  <dcterms:created xsi:type="dcterms:W3CDTF">2026-01-17T14:00:00Z</dcterms:created>
  <dcterms:modified xsi:type="dcterms:W3CDTF">2026-10-09T14:08:00Z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2D19D9C2CA254A9D812F9B8C6D37B326_12</vt:lpwstr>
  </property>
  <property fmtid="{D5CDD505-2E9C-101B-9397-08002B2CF9AE}" pid="3" name="KSOProductBuildVer">
    <vt:lpwstr>2052-12.1.0.26375</vt:lpwstr>
  </property>
  <property fmtid="{D5CDD505-2E9C-101B-9397-08002B2CF9AE}" pid="4" name="CalculationRule">
    <vt:i4>0</vt:i4>
  </property>
</Properties>
</file>